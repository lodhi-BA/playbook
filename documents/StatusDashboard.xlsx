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Project Detail" sheetId="2" state="visible" r:id="rId4"/>
    <sheet name="Budget Detail" sheetId="3" state="visible" r:id="rId5"/>
    <sheet name="Testing and Qual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<sst xmlns="http://schemas.openxmlformats.org/spreadsheetml/2006/main" count="527" uniqueCount="331">
  <si>
    <t xml:space="preserve">PROJECT STATUS DASHBOARD  —  I-Property: Rental Property Management System</t>
  </si>
  <si>
    <t xml:space="preserve">Report Date: 30 April 2025   |   Period: April 2025   |   Project Manager: IT-PMO   |   Overall Status: AMBER</t>
  </si>
  <si>
    <t xml:space="preserve">  PROJECT SUMMARY</t>
  </si>
  <si>
    <t xml:space="preserve">Project Name</t>
  </si>
  <si>
    <t xml:space="preserve">Rental Property Management System (I-Property)</t>
  </si>
  <si>
    <t xml:space="preserve">Project Start</t>
  </si>
  <si>
    <t xml:space="preserve">03 March 2025</t>
  </si>
  <si>
    <t xml:space="preserve">Sponsor</t>
  </si>
  <si>
    <t xml:space="preserve">CFO, Finance</t>
  </si>
  <si>
    <t xml:space="preserve">Planned Go-Live</t>
  </si>
  <si>
    <t xml:space="preserve">09 June 2025</t>
  </si>
  <si>
    <t xml:space="preserve">Project Manager</t>
  </si>
  <si>
    <t xml:space="preserve">IT-PMO</t>
  </si>
  <si>
    <t xml:space="preserve">Phase</t>
  </si>
  <si>
    <t xml:space="preserve">UAT — In Progress</t>
  </si>
  <si>
    <t xml:space="preserve">I-Property replaces the manual paper and email-based rental property management process with a centralized digital system covering agreement lifecycle management, multi-level approval workflows, utility bill processing, and automated monthly payment generation with Oracle Financial integration.</t>
  </si>
  <si>
    <t xml:space="preserve">  STATUS AT A GLANCE</t>
  </si>
  <si>
    <t xml:space="preserve">Overall</t>
  </si>
  <si>
    <t xml:space="preserve">Schedule</t>
  </si>
  <si>
    <t xml:space="preserve">Budget</t>
  </si>
  <si>
    <t xml:space="preserve">Scope</t>
  </si>
  <si>
    <t xml:space="preserve">Quality</t>
  </si>
  <si>
    <t xml:space="preserve">Risk</t>
  </si>
  <si>
    <t xml:space="preserve">Amber</t>
  </si>
  <si>
    <t xml:space="preserve">Green</t>
  </si>
  <si>
    <t xml:space="preserve">AMBER  —  The project is on track in four areas but requires attention in two. IDD-001 (Integration Design Document) is 7 days overdue and is blocking Oracle Financial integration testing. UAT completion on 16 May is at risk due to delayed notification template delivery from the business. Budget is $35,200 favourable. No Critical defects have been raised in any test phase. Go-live on 09 June remains achievable if both open issues are resolved before 09 May.</t>
  </si>
  <si>
    <t xml:space="preserve">  BUDGET SUMMARY</t>
  </si>
  <si>
    <t xml:space="preserve">Item</t>
  </si>
  <si>
    <t xml:space="preserve">Amount</t>
  </si>
  <si>
    <t xml:space="preserve">Status</t>
  </si>
  <si>
    <t xml:space="preserve">Approved Budget</t>
  </si>
  <si>
    <t xml:space="preserve">$485,000</t>
  </si>
  <si>
    <t xml:space="preserve">Budget Variance</t>
  </si>
  <si>
    <t xml:space="preserve">$35,200 under budget</t>
  </si>
  <si>
    <t xml:space="preserve">Spent to Date</t>
  </si>
  <si>
    <t xml:space="preserve">$301,200</t>
  </si>
  <si>
    <t xml:space="preserve">Contingency Remaining</t>
  </si>
  <si>
    <t xml:space="preserve">$28,400</t>
  </si>
  <si>
    <t xml:space="preserve">Forecast at Completion</t>
  </si>
  <si>
    <t xml:space="preserve">$449,800</t>
  </si>
  <si>
    <t xml:space="preserve">On Track</t>
  </si>
  <si>
    <t xml:space="preserve">% Budget Consumed</t>
  </si>
  <si>
    <t xml:space="preserve">62%</t>
  </si>
  <si>
    <t xml:space="preserve">  PHASE STATUS</t>
  </si>
  <si>
    <t xml:space="preserve">Planned End</t>
  </si>
  <si>
    <t xml:space="preserve">Actual / Forecast</t>
  </si>
  <si>
    <t xml:space="preserve">Note</t>
  </si>
  <si>
    <t xml:space="preserve">Forecast</t>
  </si>
  <si>
    <t xml:space="preserve">Requirements and Design</t>
  </si>
  <si>
    <t xml:space="preserve">28 Mar 2025</t>
  </si>
  <si>
    <t xml:space="preserve">Complete</t>
  </si>
  <si>
    <t xml:space="preserve">BRD, SRS, UI-001 signed off.</t>
  </si>
  <si>
    <t xml:space="preserve">IQ/OQ/PQ Validation</t>
  </si>
  <si>
    <t xml:space="preserve">23 May 2025</t>
  </si>
  <si>
    <t xml:space="preserve">TBD</t>
  </si>
  <si>
    <t xml:space="preserve">Not Started</t>
  </si>
  <si>
    <t xml:space="preserve">Development</t>
  </si>
  <si>
    <t xml:space="preserve">18 Apr 2025</t>
  </si>
  <si>
    <t xml:space="preserve">All 13 screens and API endpoints delivered.</t>
  </si>
  <si>
    <t xml:space="preserve">User Training</t>
  </si>
  <si>
    <t xml:space="preserve">30 May 2025</t>
  </si>
  <si>
    <t xml:space="preserve">System Integration Testing</t>
  </si>
  <si>
    <t xml:space="preserve">02 May 2025</t>
  </si>
  <si>
    <t xml:space="preserve">30 Apr 2025</t>
  </si>
  <si>
    <t xml:space="preserve">87 TCs. 96.6% pass rate. 3 defects resolved.</t>
  </si>
  <si>
    <t xml:space="preserve">Data Migration</t>
  </si>
  <si>
    <t xml:space="preserve">User Acceptance Testing</t>
  </si>
  <si>
    <t xml:space="preserve">16 May 2025</t>
  </si>
  <si>
    <t xml:space="preserve">At Risk</t>
  </si>
  <si>
    <t xml:space="preserve">In progress. Blocked on templates (ISS-002).</t>
  </si>
  <si>
    <t xml:space="preserve">Production Go-Live</t>
  </si>
  <si>
    <t xml:space="preserve">09 Jun 2025</t>
  </si>
  <si>
    <t xml:space="preserve">  RISKS REQUIRING INTERVENTION</t>
  </si>
  <si>
    <t xml:space="preserve">Description</t>
  </si>
  <si>
    <t xml:space="preserve">Owner</t>
  </si>
  <si>
    <t xml:space="preserve">Score</t>
  </si>
  <si>
    <t xml:space="preserve">Action Required</t>
  </si>
  <si>
    <t xml:space="preserve">R-002</t>
  </si>
  <si>
    <t xml:space="preserve">Oracle Financial Integration — Schema Mismatch</t>
  </si>
  <si>
    <t xml:space="preserve">Integration Architect</t>
  </si>
  <si>
    <t xml:space="preserve">Open</t>
  </si>
  <si>
    <t xml:space="preserve">Schema alignment workshop 05 May. Sandbox testing must complete before UAT closes.</t>
  </si>
  <si>
    <t xml:space="preserve">R-019</t>
  </si>
  <si>
    <t xml:space="preserve">Notification Templates Not Delivered</t>
  </si>
  <si>
    <t xml:space="preserve">BA / PMO</t>
  </si>
  <si>
    <t xml:space="preserve">Templates due 07 May from business. UAT is blocked until received.</t>
  </si>
  <si>
    <t xml:space="preserve">R-033</t>
  </si>
  <si>
    <t xml:space="preserve">Data Privacy Regulation Non-Compliance (Legal Review)</t>
  </si>
  <si>
    <t xml:space="preserve">Head of Legal</t>
  </si>
  <si>
    <t xml:space="preserve">In Progress</t>
  </si>
  <si>
    <t xml:space="preserve">Legal review in progress. Must be complete before go-live approval.</t>
  </si>
  <si>
    <t xml:space="preserve">R-034</t>
  </si>
  <si>
    <t xml:space="preserve">AML Compliance Scope Not Confirmed</t>
  </si>
  <si>
    <t xml:space="preserve">No response from Legal or Audit. Escalation required by 09 May.</t>
  </si>
  <si>
    <t xml:space="preserve">  ISSUES REQUIRING INTERVENTION</t>
  </si>
  <si>
    <t xml:space="preserve">Issue</t>
  </si>
  <si>
    <t xml:space="preserve">Due</t>
  </si>
  <si>
    <t xml:space="preserve">Priority</t>
  </si>
  <si>
    <t xml:space="preserve">ISS-001</t>
  </si>
  <si>
    <t xml:space="preserve">IDD-001 Integration Design Not Approved</t>
  </si>
  <si>
    <t xml:space="preserve">Head of Enterprise Architecture</t>
  </si>
  <si>
    <t xml:space="preserve">09 May</t>
  </si>
  <si>
    <t xml:space="preserve">Critical</t>
  </si>
  <si>
    <t xml:space="preserve">Oracle Financial integration testing is blocked. PM to escalate to sponsor if unresolved by 09 May.</t>
  </si>
  <si>
    <t xml:space="preserve">ISS-002</t>
  </si>
  <si>
    <t xml:space="preserve">Notification Templates Not Delivered by Business Team</t>
  </si>
  <si>
    <t xml:space="preserve">Manager Real Estate</t>
  </si>
  <si>
    <t xml:space="preserve">07 May</t>
  </si>
  <si>
    <t xml:space="preserve">14 templates required before UAT can complete. Business team committed to 07 May delivery.</t>
  </si>
  <si>
    <t xml:space="preserve">ISS-003</t>
  </si>
  <si>
    <t xml:space="preserve">Oracle Financial Ledger Codes Not Confirmed</t>
  </si>
  <si>
    <t xml:space="preserve">Senior Manager Finance</t>
  </si>
  <si>
    <t xml:space="preserve">05 May</t>
  </si>
  <si>
    <t xml:space="preserve">Expense accrual API cannot be configured. Finance workshop scheduled 02 May.</t>
  </si>
  <si>
    <t xml:space="preserve">ISS-004</t>
  </si>
  <si>
    <t xml:space="preserve">Director Office UAT Participation Not Confirmed</t>
  </si>
  <si>
    <t xml:space="preserve">02 May</t>
  </si>
  <si>
    <t xml:space="preserve">High</t>
  </si>
  <si>
    <t xml:space="preserve">UAT session 12 May requires Director Office representative. Escalated to project sponsor.</t>
  </si>
  <si>
    <t xml:space="preserve">I-Property  |  Report Date: 30 April 2025  |  Next Report: 30 May 2025  |  IT-PMO  |  Confidential  |  See tabs for full detail</t>
  </si>
  <si>
    <t xml:space="preserve">PROJECT DETAIL  —  I-Property: Rental Property Management System</t>
  </si>
  <si>
    <t xml:space="preserve">Full milestone list  |  Risk register  |  Issues log  |  Testing summary  |  Report Date: 30 April 2025</t>
  </si>
  <si>
    <t xml:space="preserve">  ALL MILESTONES</t>
  </si>
  <si>
    <t xml:space="preserve">Milestone</t>
  </si>
  <si>
    <t xml:space="preserve">Planned Start</t>
  </si>
  <si>
    <t xml:space="preserve">Requirements Sign-Off (BRD)</t>
  </si>
  <si>
    <t xml:space="preserve">03 Mar</t>
  </si>
  <si>
    <t xml:space="preserve">14 Mar</t>
  </si>
  <si>
    <t xml:space="preserve">14 Mar 2025</t>
  </si>
  <si>
    <t xml:space="preserve">Signed by all 7 stakeholders.</t>
  </si>
  <si>
    <t xml:space="preserve">SRS, SAD, and SDD Approved</t>
  </si>
  <si>
    <t xml:space="preserve">17 Mar</t>
  </si>
  <si>
    <t xml:space="preserve">28 Mar</t>
  </si>
  <si>
    <t xml:space="preserve">IDD-001 still pending final sign-off.</t>
  </si>
  <si>
    <t xml:space="preserve">UI/UX Wireframes Approved (UI-001)</t>
  </si>
  <si>
    <t xml:space="preserve">01 Apr</t>
  </si>
  <si>
    <t xml:space="preserve">11 Apr</t>
  </si>
  <si>
    <t xml:space="preserve">11 Apr 2025</t>
  </si>
  <si>
    <t xml:space="preserve">2 minor UX change requests raised.</t>
  </si>
  <si>
    <t xml:space="preserve">Development Sprint 1 Complete</t>
  </si>
  <si>
    <t xml:space="preserve">03 Apr</t>
  </si>
  <si>
    <t xml:space="preserve">14 Apr</t>
  </si>
  <si>
    <t xml:space="preserve">14 Apr 2025</t>
  </si>
  <si>
    <t xml:space="preserve">Core API endpoints delivered.</t>
  </si>
  <si>
    <t xml:space="preserve">Development Sprint 2 Complete</t>
  </si>
  <si>
    <t xml:space="preserve">15 Apr</t>
  </si>
  <si>
    <t xml:space="preserve">25 Apr</t>
  </si>
  <si>
    <t xml:space="preserve">25 Apr 2025</t>
  </si>
  <si>
    <t xml:space="preserve">Integration layer and notification engine.</t>
  </si>
  <si>
    <t xml:space="preserve">FAT Complete</t>
  </si>
  <si>
    <t xml:space="preserve">08 Apr</t>
  </si>
  <si>
    <t xml:space="preserve">18 Apr</t>
  </si>
  <si>
    <t xml:space="preserve">42 TCs, 100% pass rate.</t>
  </si>
  <si>
    <t xml:space="preserve">SIT Complete</t>
  </si>
  <si>
    <t xml:space="preserve">22 Apr</t>
  </si>
  <si>
    <t xml:space="preserve">87 TCs, 96.6% pass rate. 3 High defects resolved.</t>
  </si>
  <si>
    <t xml:space="preserve">IDD-001 Integration Design Approved</t>
  </si>
  <si>
    <t xml:space="preserve">Delayed</t>
  </si>
  <si>
    <t xml:space="preserve">7 days overdue. Blocking OF integration testing.</t>
  </si>
  <si>
    <t xml:space="preserve">UAT Environment Ready</t>
  </si>
  <si>
    <t xml:space="preserve">28 Apr</t>
  </si>
  <si>
    <t xml:space="preserve">Anonymized UAT data set approved.</t>
  </si>
  <si>
    <t xml:space="preserve">UAT Complete</t>
  </si>
  <si>
    <t xml:space="preserve">16 May</t>
  </si>
  <si>
    <t xml:space="preserve">In progress. Templates not yet received (ISS-002).</t>
  </si>
  <si>
    <t xml:space="preserve">Oracle Financial Integration Tested</t>
  </si>
  <si>
    <t xml:space="preserve">12 May</t>
  </si>
  <si>
    <t xml:space="preserve">Dependent on IDD-001 sign-off (ISS-001).</t>
  </si>
  <si>
    <t xml:space="preserve">19 May</t>
  </si>
  <si>
    <t xml:space="preserve">23 May</t>
  </si>
  <si>
    <t xml:space="preserve">Requires UAT sign-off to begin.</t>
  </si>
  <si>
    <t xml:space="preserve">User Training Delivered</t>
  </si>
  <si>
    <t xml:space="preserve">26 May</t>
  </si>
  <si>
    <t xml:space="preserve">30 May</t>
  </si>
  <si>
    <t xml:space="preserve">Training plan drafted. Awaiting UAT sign-off.</t>
  </si>
  <si>
    <t xml:space="preserve">Data Migration Dry-Run</t>
  </si>
  <si>
    <t xml:space="preserve">Migration scripts ready. Scope to be confirmed.</t>
  </si>
  <si>
    <t xml:space="preserve">Data Migration Final</t>
  </si>
  <si>
    <t xml:space="preserve">02 Jun</t>
  </si>
  <si>
    <t xml:space="preserve">06 Jun</t>
  </si>
  <si>
    <t xml:space="preserve">CAB Approval (Go/No-Go)</t>
  </si>
  <si>
    <t xml:space="preserve">04 Jun</t>
  </si>
  <si>
    <t xml:space="preserve">Requires signed UAT and IQ/OQ/PQ reports.</t>
  </si>
  <si>
    <t xml:space="preserve">Production Deployment</t>
  </si>
  <si>
    <t xml:space="preserve">09 Jun</t>
  </si>
  <si>
    <t xml:space="preserve">Deployment window: Monday 09 Jun 22:00 PST.</t>
  </si>
  <si>
    <t xml:space="preserve">Hypercare Period</t>
  </si>
  <si>
    <t xml:space="preserve">20 Jun</t>
  </si>
  <si>
    <t xml:space="preserve">BA, QA Lead, Dev Lead, IT Infra on standby.</t>
  </si>
  <si>
    <t xml:space="preserve">Project Closure</t>
  </si>
  <si>
    <t xml:space="preserve">23 Jun</t>
  </si>
  <si>
    <t xml:space="preserve">27 Jun</t>
  </si>
  <si>
    <t xml:space="preserve">Retrospective and handover to support.</t>
  </si>
  <si>
    <t xml:space="preserve">  RISK REGISTER  (all open risks)</t>
  </si>
  <si>
    <t xml:space="preserve">Risk ID</t>
  </si>
  <si>
    <t xml:space="preserve">Risk Title</t>
  </si>
  <si>
    <t xml:space="preserve">Category</t>
  </si>
  <si>
    <t xml:space="preserve">Mitigation Summary</t>
  </si>
  <si>
    <t xml:space="preserve">Mitigation and Current Action</t>
  </si>
  <si>
    <t xml:space="preserve">R-001</t>
  </si>
  <si>
    <t xml:space="preserve">Oracle Financial API Unavailability</t>
  </si>
  <si>
    <t xml:space="preserve">Integration</t>
  </si>
  <si>
    <t xml:space="preserve">Batch file fallback defined. Schema alignment workshop 05 May. API confirmation required by 09 May.</t>
  </si>
  <si>
    <t xml:space="preserve">Oracle Financial Schema Mismatch on Batch</t>
  </si>
  <si>
    <t xml:space="preserve">Field mapping workshop complete. Sandbox testing in progress. Blocking UAT sign-off.</t>
  </si>
  <si>
    <t xml:space="preserve">R-006</t>
  </si>
  <si>
    <t xml:space="preserve">Unauthorized Cross-Area Data Access</t>
  </si>
  <si>
    <t xml:space="preserve">Security</t>
  </si>
  <si>
    <t xml:space="preserve">Solution Architect</t>
  </si>
  <si>
    <t xml:space="preserve">RBAC enforced at API level. Role matrix test complete in SIT. OQ verified.</t>
  </si>
  <si>
    <t xml:space="preserve">R-011</t>
  </si>
  <si>
    <t xml:space="preserve">Approval SLA Breach with No Escalation</t>
  </si>
  <si>
    <t xml:space="preserve">Workflow</t>
  </si>
  <si>
    <t xml:space="preserve">NE-14 SLA breach notification implemented and tested. Configurable thresholds set before UAT.</t>
  </si>
  <si>
    <t xml:space="preserve">Notification Templates Not Finalized</t>
  </si>
  <si>
    <t xml:space="preserve">Requirements</t>
  </si>
  <si>
    <t xml:space="preserve">Templates due 07 May. UAT notification testing is blocked until received.</t>
  </si>
  <si>
    <t xml:space="preserve">R-022</t>
  </si>
  <si>
    <t xml:space="preserve">Key Technical Resource Unavailability</t>
  </si>
  <si>
    <t xml:space="preserve">Delivery</t>
  </si>
  <si>
    <t xml:space="preserve">All SRS and SDD documents current. Cross-training complete for core modules.</t>
  </si>
  <si>
    <t xml:space="preserve">R-027</t>
  </si>
  <si>
    <t xml:space="preserve">Database Disk Space Exhaustion</t>
  </si>
  <si>
    <t xml:space="preserve">System</t>
  </si>
  <si>
    <t xml:space="preserve">IT Infrastructure</t>
  </si>
  <si>
    <t xml:space="preserve">Disk alerts configured at 70% and 85%. Capacity baseline established in IQ checklist.</t>
  </si>
  <si>
    <t xml:space="preserve">Data Privacy Regulation Non-Compliance</t>
  </si>
  <si>
    <t xml:space="preserve">Regulatory</t>
  </si>
  <si>
    <t xml:space="preserve">PII field inventory complete. Legal review in progress. Must complete before go-live.</t>
  </si>
  <si>
    <t xml:space="preserve">AML Controls Not Embedded in Payment Workflow</t>
  </si>
  <si>
    <t xml:space="preserve">Compliance question raised to Legal and Audit. No response received. Escalation required.</t>
  </si>
  <si>
    <t xml:space="preserve">  ISSUES LOG  (all open issues)</t>
  </si>
  <si>
    <t xml:space="preserve">Issue ID</t>
  </si>
  <si>
    <t xml:space="preserve">Issue Title</t>
  </si>
  <si>
    <t xml:space="preserve">Due Date</t>
  </si>
  <si>
    <t xml:space="preserve">Description and Action Required</t>
  </si>
  <si>
    <t xml:space="preserve">IDD-001 Integration Design Not Yet Approved</t>
  </si>
  <si>
    <t xml:space="preserve">09 May 2025</t>
  </si>
  <si>
    <t xml:space="preserve">Oracle Financial integration testing is blocked. PM to escalate to project sponsor if unresolved by 09 May.</t>
  </si>
  <si>
    <t xml:space="preserve">Notification Templates Not Delivered by Business</t>
  </si>
  <si>
    <t xml:space="preserve">07 May 2025</t>
  </si>
  <si>
    <t xml:space="preserve">All 14 NE event templates required before UAT notification testing. Business team committed to 07 May.</t>
  </si>
  <si>
    <t xml:space="preserve">05 May 2025</t>
  </si>
  <si>
    <t xml:space="preserve">Expense accrual API configuration requires confirmed ledger codes. Finance workshop scheduled 02 May.</t>
  </si>
  <si>
    <t xml:space="preserve">UAT session on 12 May requires Director Office representative. Escalated to project sponsor.</t>
  </si>
  <si>
    <t xml:space="preserve">ISS-005</t>
  </si>
  <si>
    <t xml:space="preserve">Data Migration Dry-Run Scope Not Agreed</t>
  </si>
  <si>
    <t xml:space="preserve">IT Infrastructure Lead</t>
  </si>
  <si>
    <t xml:space="preserve">Scope of migration dry-run not confirmed by Admin HO or Finance. Required for 28 May dry-run execution.</t>
  </si>
  <si>
    <t xml:space="preserve">  TESTING SUMMARY</t>
  </si>
  <si>
    <t xml:space="preserve">Total TCs</t>
  </si>
  <si>
    <t xml:space="preserve">Pass</t>
  </si>
  <si>
    <t xml:space="preserve">Fail</t>
  </si>
  <si>
    <t xml:space="preserve">Pass Rate</t>
  </si>
  <si>
    <t xml:space="preserve">Factory Acceptance Testing (FAT)</t>
  </si>
  <si>
    <t xml:space="preserve">100%</t>
  </si>
  <si>
    <t xml:space="preserve">System Integration Testing (SIT)</t>
  </si>
  <si>
    <t xml:space="preserve">96.6%</t>
  </si>
  <si>
    <t xml:space="preserve">User Acceptance Testing (UAT)</t>
  </si>
  <si>
    <t xml:space="preserve">~34%</t>
  </si>
  <si>
    <t xml:space="preserve">—</t>
  </si>
  <si>
    <t xml:space="preserve">98.4%*</t>
  </si>
  <si>
    <t xml:space="preserve">* 98.4% pass rate is based on FAT and SIT only. UAT is in progress.</t>
  </si>
  <si>
    <t xml:space="preserve">BUDGET DETAIL  —  I-Property: Rental Property Management System</t>
  </si>
  <si>
    <t xml:space="preserve">Full cost breakdown by category  |  Report Date: 30 April 2025</t>
  </si>
  <si>
    <t xml:space="preserve">  BUDGET BY COST CATEGORY</t>
  </si>
  <si>
    <t xml:space="preserve">Cost Category</t>
  </si>
  <si>
    <t xml:space="preserve">Committed</t>
  </si>
  <si>
    <t xml:space="preserve">Remaining</t>
  </si>
  <si>
    <t xml:space="preserve">Variance</t>
  </si>
  <si>
    <t xml:space="preserve">Notes</t>
  </si>
  <si>
    <t xml:space="preserve">Business Analysis and PMO</t>
  </si>
  <si>
    <t xml:space="preserve">SRS and RTM complete. Supporting UAT facilitation.</t>
  </si>
  <si>
    <t xml:space="preserve">Development — All Sprints</t>
  </si>
  <si>
    <t xml:space="preserve">All screens and API endpoints delivered.</t>
  </si>
  <si>
    <t xml:space="preserve">QA and Testing</t>
  </si>
  <si>
    <t xml:space="preserve">FAT and SIT complete. UAT in progress.</t>
  </si>
  <si>
    <t xml:space="preserve">Infrastructure and Environments</t>
  </si>
  <si>
    <t xml:space="preserve">All 4 environments provisioned.</t>
  </si>
  <si>
    <t xml:space="preserve">Integration (Oracle Financial)</t>
  </si>
  <si>
    <t xml:space="preserve">IDD-001 pending. Sandbox testing in progress.</t>
  </si>
  <si>
    <t xml:space="preserve">UX Design (UI-001)</t>
  </si>
  <si>
    <t xml:space="preserve">UI-001 delivered and approved.</t>
  </si>
  <si>
    <t xml:space="preserve">Training and Change Management</t>
  </si>
  <si>
    <t xml:space="preserve">Training scheduled 26 to 30 May.</t>
  </si>
  <si>
    <t xml:space="preserve">Migration scripts ready. Dry-run 28 May.</t>
  </si>
  <si>
    <t xml:space="preserve">Contingency</t>
  </si>
  <si>
    <t xml:space="preserve">Three issues partially drawn against contingency.</t>
  </si>
  <si>
    <t xml:space="preserve">Project Management</t>
  </si>
  <si>
    <t xml:space="preserve">PM 85 days total allocation.</t>
  </si>
  <si>
    <t xml:space="preserve">TOTAL</t>
  </si>
  <si>
    <t xml:space="preserve">Budget status is GREEN. Forecast at completion of $449,800 represents a $35,200 favourable variance against the approved budget of $485,000. $28,400 of the original $40,000 contingency remains. Three contingency draws have been made: IDD-001 delay impact ($4,200), Oracle Financial schema rework ($4,800), and IE11 polyfill development ($2,600). All cost categories are tracking within approved limits. The integration category is the highest residual risk given the pending IDD-001 approval and Oracle Financial sandbox testing.</t>
  </si>
  <si>
    <t xml:space="preserve">TESTING AND QUALITY  —  I-Property: Rental Property Management System</t>
  </si>
  <si>
    <t xml:space="preserve">Test phase results  |  Compliance indicators  |  Defect summary  |  Report Date: 30 April 2025</t>
  </si>
  <si>
    <t xml:space="preserve">  TEST PHASE RESULTS</t>
  </si>
  <si>
    <t xml:space="preserve">Executed</t>
  </si>
  <si>
    <t xml:space="preserve">FAT — Factory Acceptance Testing</t>
  </si>
  <si>
    <t xml:space="preserve">SIT — System Integration Testing</t>
  </si>
  <si>
    <t xml:space="preserve">UAT — User Acceptance Testing</t>
  </si>
  <si>
    <t xml:space="preserve">IQ/OQ/PQ — Validation</t>
  </si>
  <si>
    <t xml:space="preserve">Overall (FAT + SIT complete)</t>
  </si>
  <si>
    <t xml:space="preserve">* Pass rate applies to FAT and SIT only. UAT is 34% complete.</t>
  </si>
  <si>
    <t xml:space="preserve">  DEFECT SUMMARY</t>
  </si>
  <si>
    <t xml:space="preserve">Severity</t>
  </si>
  <si>
    <t xml:space="preserve">FAT</t>
  </si>
  <si>
    <t xml:space="preserve">SIT</t>
  </si>
  <si>
    <t xml:space="preserve">UAT</t>
  </si>
  <si>
    <t xml:space="preserve">Total</t>
  </si>
  <si>
    <t xml:space="preserve">Resolved</t>
  </si>
  <si>
    <t xml:space="preserve">Medium</t>
  </si>
  <si>
    <t xml:space="preserve">Low</t>
  </si>
  <si>
    <t xml:space="preserve">  COMPLIANCE AND QUALITY INDICATORS</t>
  </si>
  <si>
    <t xml:space="preserve">Indicator</t>
  </si>
  <si>
    <t xml:space="preserve">Target</t>
  </si>
  <si>
    <t xml:space="preserve">Actual</t>
  </si>
  <si>
    <t xml:space="preserve">Functional requirement coverage (traced to TC)</t>
  </si>
  <si>
    <t xml:space="preserve">Non-functional requirement verification</t>
  </si>
  <si>
    <t xml:space="preserve">Integration requirement test coverage</t>
  </si>
  <si>
    <t xml:space="preserve">Overall test pass rate (completed phases)</t>
  </si>
  <si>
    <t xml:space="preserve">95%</t>
  </si>
  <si>
    <t xml:space="preserve">98.4%</t>
  </si>
  <si>
    <t xml:space="preserve">Critical defects open</t>
  </si>
  <si>
    <t xml:space="preserve">0</t>
  </si>
  <si>
    <t xml:space="preserve">High defects open</t>
  </si>
  <si>
    <t xml:space="preserve">IQ/OQ/PQ completion</t>
  </si>
  <si>
    <t xml:space="preserve">Audit trail and RBAC verification</t>
  </si>
  <si>
    <t xml:space="preserve">Document sign-off completion</t>
  </si>
  <si>
    <t xml:space="preserve">71%</t>
  </si>
  <si>
    <t xml:space="preserve">Regulatory compliance reviews (Legal)</t>
  </si>
  <si>
    <t xml:space="preserve">AML compliance scoping confirmed</t>
  </si>
  <si>
    <t xml:space="preserve">Red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</si>
</sst>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.5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E4A6B"/>
      <name val="Arial"/>
      <family val="0"/>
      <charset val="1"/>
    </font>
    <font>
      <sz val="9"/>
      <color rgb="FF1F1F1F"/>
      <name val="Arial"/>
      <family val="0"/>
      <charset val="1"/>
    </font>
    <font>
      <sz val="9"/>
      <color rgb="FF1F2D3D"/>
      <name val="Arial"/>
      <family val="0"/>
      <charset val="1"/>
    </font>
    <font>
      <b val="true"/>
      <sz val="8.5"/>
      <color rgb="FF2E4A6B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sz val="9"/>
      <color rgb="FF5D403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9"/>
      <color rgb="FF1F1F1F"/>
      <name val="Arial"/>
      <family val="0"/>
      <charset val="1"/>
    </font>
    <font>
      <sz val="8.5"/>
      <color rgb="FF1F1F1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9"/>
      <color rgb="FFE67E22"/>
      <name val="Arial"/>
      <family val="0"/>
      <charset val="1"/>
    </font>
    <font>
      <i val="true"/>
      <sz val="8.5"/>
      <color rgb="FF555555"/>
      <name val="Arial"/>
      <family val="0"/>
      <charset val="1"/>
    </font>
    <font>
      <b val="true"/>
      <sz val="9"/>
      <color rgb="FF2980B9"/>
      <name val="Arial"/>
      <family val="0"/>
      <charset val="1"/>
    </font>
    <font>
      <b val="true"/>
      <sz val="9"/>
      <color rgb="FFC0392B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8.5"/>
      <color rgb="FF1F1F1F"/>
      <name val="Arial"/>
      <family val="0"/>
      <charset val="1"/>
    </font>
    <font>
      <b val="true"/>
      <sz val="9"/>
      <color rgb="FFA5B4FC"/>
      <name val="Arial"/>
      <family val="0"/>
      <charset val="1"/>
    </font>
    <font>
      <i val="true"/>
      <sz val="8.5"/>
      <color rgb="FF888888"/>
      <name val="Arial"/>
      <family val="0"/>
      <charset val="1"/>
    </font>
    <font>
      <sz val="9"/>
      <color rgb="FF1A5C35"/>
      <name val="Arial"/>
      <family val="0"/>
      <charset val="1"/>
    </font>
    <font>
      <b val="true"/>
      <sz val="9"/>
      <color rgb="FF7D660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2D3D"/>
        <bgColor rgb="FF1F1F1F"/>
      </patternFill>
    </fill>
    <fill>
      <patternFill patternType="solid">
        <fgColor rgb="FF2E4A6B"/>
        <bgColor rgb="FF555555"/>
      </patternFill>
    </fill>
    <fill>
      <patternFill patternType="solid">
        <fgColor rgb="FFFFFFFF"/>
        <bgColor rgb="FFF5F6F7"/>
      </patternFill>
    </fill>
    <fill>
      <patternFill patternType="solid">
        <fgColor rgb="FFF5F6F7"/>
        <bgColor rgb="FFEAF0F6"/>
      </patternFill>
    </fill>
    <fill>
      <patternFill patternType="solid">
        <fgColor rgb="FFEAF0F6"/>
        <bgColor rgb="FFF5F6F7"/>
      </patternFill>
    </fill>
    <fill>
      <patternFill patternType="solid">
        <fgColor rgb="FFFDEBD0"/>
        <bgColor rgb="FFFFF9C4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FDEBD0"/>
      </patternFill>
    </fill>
    <fill>
      <patternFill patternType="solid">
        <fgColor rgb="FFFFF9C4"/>
        <bgColor rgb="FFFDEBD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E67E22"/>
      </left>
      <right/>
      <top style="thin">
        <color rgb="FFE67E22"/>
      </top>
      <bottom/>
      <diagonal/>
    </border>
    <border diagonalUp="false" diagonalDown="false">
      <left style="thin">
        <color rgb="FF27AE60"/>
      </left>
      <right/>
      <top style="thin">
        <color rgb="FF27AE60"/>
      </top>
      <bottom style="thin">
        <color rgb="FF27AE6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5"/>
      <rgbColor rgb="FF000080"/>
      <rgbColor rgb="FF7D6608"/>
      <rgbColor rgb="FF800080"/>
      <rgbColor rgb="FF2980B9"/>
      <rgbColor rgb="FFCCCCCC"/>
      <rgbColor rgb="FF888888"/>
      <rgbColor rgb="FF9999FF"/>
      <rgbColor rgb="FF5D4037"/>
      <rgbColor rgb="FFFFF9C4"/>
      <rgbColor rgb="FFD6EAF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6"/>
      <rgbColor rgb="FFD5F5E3"/>
      <rgbColor rgb="FFFDEBD0"/>
      <rgbColor rgb="FFA5B4FC"/>
      <rgbColor rgb="FFF5F6F7"/>
      <rgbColor rgb="FFCC99FF"/>
      <rgbColor rgb="FFFADBD8"/>
      <rgbColor rgb="FF3366FF"/>
      <rgbColor rgb="FF33CCCC"/>
      <rgbColor rgb="FF99CC00"/>
      <rgbColor rgb="FFFFCC00"/>
      <rgbColor rgb="FFFF9900"/>
      <rgbColor rgb="FFE67E22"/>
      <rgbColor rgb="FF555555"/>
      <rgbColor rgb="FFAAAAAA"/>
      <rgbColor rgb="FF003366"/>
      <rgbColor rgb="FF27AE60"/>
      <rgbColor rgb="FF003300"/>
      <rgbColor rgb="FF1F1F1F"/>
      <rgbColor rgb="FFC0392B"/>
      <rgbColor rgb="FF993366"/>
      <rgbColor rgb="FF2E4A6B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D3D"/>
    <pageSetUpPr fitToPage="false"/>
  </sheetPr>
  <dimension ref="A1:S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6"/>
    <col collapsed="false" customWidth="true" hidden="false" outlineLevel="0" max="7" min="7" style="0" width="3"/>
    <col collapsed="false" customWidth="true" hidden="false" outlineLevel="0" max="8" min="8" style="0" width="22"/>
    <col collapsed="false" customWidth="true" hidden="false" outlineLevel="0" max="11" min="9" style="0" width="16"/>
    <col collapsed="false" customWidth="true" hidden="false" outlineLevel="0" max="12" min="12" style="0" width="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6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9.5" hidden="false" customHeight="true" outlineLevel="0" collapsed="false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6.5" hidden="false" customHeight="true" outlineLevel="0" collapsed="false">
      <c r="B6" s="6" t="s">
        <v>3</v>
      </c>
      <c r="C6" s="7" t="s">
        <v>4</v>
      </c>
      <c r="D6" s="7"/>
      <c r="E6" s="7"/>
      <c r="F6" s="7"/>
      <c r="H6" s="6" t="s">
        <v>5</v>
      </c>
      <c r="I6" s="7" t="s">
        <v>6</v>
      </c>
      <c r="J6" s="7"/>
      <c r="K6" s="7"/>
    </row>
    <row r="7" customFormat="false" ht="16.5" hidden="false" customHeight="true" outlineLevel="0" collapsed="false">
      <c r="B7" s="6" t="s">
        <v>7</v>
      </c>
      <c r="C7" s="7" t="s">
        <v>8</v>
      </c>
      <c r="D7" s="7"/>
      <c r="E7" s="7"/>
      <c r="F7" s="7"/>
      <c r="H7" s="6" t="s">
        <v>9</v>
      </c>
      <c r="I7" s="7" t="s">
        <v>10</v>
      </c>
      <c r="J7" s="7"/>
      <c r="K7" s="7"/>
    </row>
    <row r="8" customFormat="false" ht="16.5" hidden="false" customHeight="true" outlineLevel="0" collapsed="false">
      <c r="B8" s="6" t="s">
        <v>11</v>
      </c>
      <c r="C8" s="7" t="s">
        <v>12</v>
      </c>
      <c r="D8" s="7"/>
      <c r="E8" s="7"/>
      <c r="F8" s="7"/>
      <c r="H8" s="6" t="s">
        <v>13</v>
      </c>
      <c r="I8" s="7" t="s">
        <v>14</v>
      </c>
      <c r="J8" s="7"/>
      <c r="K8" s="7"/>
    </row>
    <row r="9" customFormat="false" ht="3.7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customFormat="false" ht="27.75" hidden="false" customHeight="true" outlineLevel="0" collapsed="false">
      <c r="B10" s="8" t="s">
        <v>15</v>
      </c>
      <c r="C10" s="8"/>
      <c r="D10" s="8"/>
      <c r="E10" s="8"/>
      <c r="F10" s="8"/>
      <c r="G10" s="8"/>
      <c r="H10" s="8"/>
      <c r="I10" s="8"/>
      <c r="J10" s="8"/>
      <c r="K10" s="8"/>
      <c r="L10" s="8"/>
    </row>
    <row r="11" customFormat="false" ht="6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customFormat="false" ht="19.5" hidden="false" customHeight="true" outlineLevel="0" collapsed="false">
      <c r="B12" s="5" t="s">
        <v>16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15" hidden="false" customHeight="true" outlineLevel="0" collapsed="false">
      <c r="B13" s="9" t="s">
        <v>17</v>
      </c>
      <c r="C13" s="9" t="s">
        <v>18</v>
      </c>
      <c r="D13" s="9" t="s">
        <v>19</v>
      </c>
      <c r="E13" s="9" t="s">
        <v>20</v>
      </c>
      <c r="I13" s="9" t="s">
        <v>21</v>
      </c>
      <c r="J13" s="9" t="s">
        <v>22</v>
      </c>
    </row>
    <row r="14" customFormat="false" ht="27.75" hidden="false" customHeight="true" outlineLevel="0" collapsed="false">
      <c r="B14" s="10" t="s">
        <v>23</v>
      </c>
      <c r="C14" s="10" t="s">
        <v>23</v>
      </c>
      <c r="D14" s="11" t="s">
        <v>24</v>
      </c>
      <c r="E14" s="11" t="s">
        <v>24</v>
      </c>
      <c r="I14" s="11" t="s">
        <v>24</v>
      </c>
      <c r="J14" s="10" t="s">
        <v>23</v>
      </c>
    </row>
    <row r="15" customFormat="false" ht="18" hidden="false" customHeight="true" outlineLevel="0" collapsed="false">
      <c r="B15" s="12" t="s">
        <v>25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customFormat="false" ht="18" hidden="false" customHeight="true" outlineLevel="0" collapsed="false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customFormat="false" ht="18" hidden="false" customHeight="true" outlineLevel="0" collapsed="false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customFormat="false" ht="6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customFormat="false" ht="19.5" hidden="false" customHeight="true" outlineLevel="0" collapsed="false">
      <c r="B19" s="5" t="s">
        <v>26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9.5" hidden="false" customHeight="true" outlineLevel="0" collapsed="false">
      <c r="B20" s="13" t="s">
        <v>27</v>
      </c>
      <c r="C20" s="14" t="s">
        <v>28</v>
      </c>
      <c r="D20" s="14"/>
      <c r="E20" s="14"/>
      <c r="F20" s="14" t="s">
        <v>29</v>
      </c>
      <c r="H20" s="13" t="s">
        <v>27</v>
      </c>
      <c r="I20" s="14" t="s">
        <v>28</v>
      </c>
      <c r="J20" s="14"/>
      <c r="K20" s="14" t="s">
        <v>29</v>
      </c>
    </row>
    <row r="21" customFormat="false" ht="16.5" hidden="false" customHeight="true" outlineLevel="0" collapsed="false">
      <c r="B21" s="15" t="s">
        <v>30</v>
      </c>
      <c r="C21" s="16" t="s">
        <v>31</v>
      </c>
      <c r="D21" s="16"/>
      <c r="E21" s="16"/>
      <c r="F21" s="17"/>
      <c r="H21" s="15" t="s">
        <v>32</v>
      </c>
      <c r="I21" s="18" t="s">
        <v>24</v>
      </c>
      <c r="J21" s="18"/>
      <c r="K21" s="19" t="s">
        <v>33</v>
      </c>
    </row>
    <row r="22" customFormat="false" ht="16.5" hidden="false" customHeight="true" outlineLevel="0" collapsed="false">
      <c r="B22" s="6" t="s">
        <v>34</v>
      </c>
      <c r="C22" s="20" t="s">
        <v>35</v>
      </c>
      <c r="D22" s="20"/>
      <c r="E22" s="20"/>
      <c r="F22" s="21"/>
      <c r="H22" s="6" t="s">
        <v>36</v>
      </c>
      <c r="I22" s="20" t="s">
        <v>37</v>
      </c>
      <c r="J22" s="20"/>
      <c r="K22" s="21"/>
    </row>
    <row r="23" customFormat="false" ht="16.5" hidden="false" customHeight="true" outlineLevel="0" collapsed="false">
      <c r="B23" s="15" t="s">
        <v>38</v>
      </c>
      <c r="C23" s="22" t="s">
        <v>39</v>
      </c>
      <c r="D23" s="22"/>
      <c r="E23" s="22"/>
      <c r="F23" s="23" t="s">
        <v>40</v>
      </c>
      <c r="H23" s="15" t="s">
        <v>41</v>
      </c>
      <c r="I23" s="16" t="s">
        <v>42</v>
      </c>
      <c r="J23" s="16"/>
      <c r="K23" s="17"/>
    </row>
    <row r="24" customFormat="false" ht="6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customFormat="false" ht="19.5" hidden="false" customHeight="true" outlineLevel="0" collapsed="false">
      <c r="B25" s="5" t="s">
        <v>43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9.5" hidden="false" customHeight="true" outlineLevel="0" collapsed="false">
      <c r="B26" s="13" t="s">
        <v>13</v>
      </c>
      <c r="C26" s="14" t="s">
        <v>44</v>
      </c>
      <c r="D26" s="14" t="s">
        <v>45</v>
      </c>
      <c r="E26" s="14" t="s">
        <v>29</v>
      </c>
      <c r="F26" s="14" t="s">
        <v>46</v>
      </c>
      <c r="H26" s="13" t="s">
        <v>13</v>
      </c>
      <c r="I26" s="14" t="s">
        <v>44</v>
      </c>
      <c r="J26" s="14" t="s">
        <v>47</v>
      </c>
      <c r="K26" s="14" t="s">
        <v>29</v>
      </c>
    </row>
    <row r="27" customFormat="false" ht="16.5" hidden="false" customHeight="true" outlineLevel="0" collapsed="false">
      <c r="B27" s="15" t="s">
        <v>48</v>
      </c>
      <c r="C27" s="24" t="s">
        <v>49</v>
      </c>
      <c r="D27" s="24" t="s">
        <v>49</v>
      </c>
      <c r="E27" s="23" t="s">
        <v>50</v>
      </c>
      <c r="F27" s="25" t="s">
        <v>51</v>
      </c>
      <c r="H27" s="15" t="s">
        <v>52</v>
      </c>
      <c r="I27" s="24" t="s">
        <v>53</v>
      </c>
      <c r="J27" s="24" t="s">
        <v>54</v>
      </c>
      <c r="K27" s="26" t="s">
        <v>55</v>
      </c>
    </row>
    <row r="28" customFormat="false" ht="16.5" hidden="false" customHeight="true" outlineLevel="0" collapsed="false">
      <c r="B28" s="6" t="s">
        <v>56</v>
      </c>
      <c r="C28" s="27" t="s">
        <v>57</v>
      </c>
      <c r="D28" s="27" t="s">
        <v>57</v>
      </c>
      <c r="E28" s="23" t="s">
        <v>50</v>
      </c>
      <c r="F28" s="28" t="s">
        <v>58</v>
      </c>
      <c r="H28" s="6" t="s">
        <v>59</v>
      </c>
      <c r="I28" s="27" t="s">
        <v>60</v>
      </c>
      <c r="J28" s="27" t="s">
        <v>54</v>
      </c>
      <c r="K28" s="26" t="s">
        <v>55</v>
      </c>
    </row>
    <row r="29" customFormat="false" ht="16.5" hidden="false" customHeight="true" outlineLevel="0" collapsed="false">
      <c r="B29" s="15" t="s">
        <v>61</v>
      </c>
      <c r="C29" s="24" t="s">
        <v>62</v>
      </c>
      <c r="D29" s="24" t="s">
        <v>63</v>
      </c>
      <c r="E29" s="23" t="s">
        <v>50</v>
      </c>
      <c r="F29" s="25" t="s">
        <v>64</v>
      </c>
      <c r="H29" s="15" t="s">
        <v>65</v>
      </c>
      <c r="I29" s="24" t="s">
        <v>60</v>
      </c>
      <c r="J29" s="24" t="s">
        <v>54</v>
      </c>
      <c r="K29" s="26" t="s">
        <v>55</v>
      </c>
    </row>
    <row r="30" customFormat="false" ht="16.5" hidden="false" customHeight="true" outlineLevel="0" collapsed="false">
      <c r="B30" s="6" t="s">
        <v>66</v>
      </c>
      <c r="C30" s="27" t="s">
        <v>67</v>
      </c>
      <c r="D30" s="27" t="s">
        <v>54</v>
      </c>
      <c r="E30" s="29" t="s">
        <v>68</v>
      </c>
      <c r="F30" s="28" t="s">
        <v>69</v>
      </c>
      <c r="H30" s="6" t="s">
        <v>70</v>
      </c>
      <c r="I30" s="27" t="s">
        <v>71</v>
      </c>
      <c r="J30" s="27" t="s">
        <v>71</v>
      </c>
      <c r="K30" s="26" t="s">
        <v>55</v>
      </c>
    </row>
    <row r="31" customFormat="false" ht="6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customFormat="false" ht="19.5" hidden="false" customHeight="true" outlineLevel="0" collapsed="false">
      <c r="B32" s="5" t="s">
        <v>72</v>
      </c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19.5" hidden="false" customHeight="true" outlineLevel="0" collapsed="false">
      <c r="B33" s="14" t="s">
        <v>22</v>
      </c>
      <c r="C33" s="30" t="s">
        <v>73</v>
      </c>
      <c r="D33" s="30"/>
      <c r="E33" s="30"/>
      <c r="F33" s="30"/>
      <c r="H33" s="14" t="s">
        <v>74</v>
      </c>
      <c r="I33" s="14" t="s">
        <v>75</v>
      </c>
      <c r="J33" s="14" t="s">
        <v>29</v>
      </c>
      <c r="K33" s="30" t="s">
        <v>76</v>
      </c>
      <c r="L33" s="30"/>
    </row>
    <row r="34" customFormat="false" ht="18" hidden="false" customHeight="true" outlineLevel="0" collapsed="false">
      <c r="B34" s="31" t="s">
        <v>77</v>
      </c>
      <c r="C34" s="32" t="s">
        <v>78</v>
      </c>
      <c r="D34" s="32"/>
      <c r="E34" s="32"/>
      <c r="F34" s="32"/>
      <c r="H34" s="27" t="s">
        <v>79</v>
      </c>
      <c r="I34" s="29" t="n">
        <v>15</v>
      </c>
      <c r="J34" s="29" t="s">
        <v>80</v>
      </c>
      <c r="K34" s="33" t="s">
        <v>81</v>
      </c>
      <c r="L34" s="33"/>
    </row>
    <row r="35" customFormat="false" ht="18" hidden="false" customHeight="true" outlineLevel="0" collapsed="false">
      <c r="B35" s="34" t="s">
        <v>82</v>
      </c>
      <c r="C35" s="35" t="s">
        <v>83</v>
      </c>
      <c r="D35" s="35"/>
      <c r="E35" s="35"/>
      <c r="F35" s="35"/>
      <c r="H35" s="24" t="s">
        <v>84</v>
      </c>
      <c r="I35" s="29" t="n">
        <v>9</v>
      </c>
      <c r="J35" s="29" t="s">
        <v>80</v>
      </c>
      <c r="K35" s="36" t="s">
        <v>85</v>
      </c>
      <c r="L35" s="36"/>
    </row>
    <row r="36" customFormat="false" ht="18" hidden="false" customHeight="true" outlineLevel="0" collapsed="false">
      <c r="B36" s="31" t="s">
        <v>86</v>
      </c>
      <c r="C36" s="32" t="s">
        <v>87</v>
      </c>
      <c r="D36" s="32"/>
      <c r="E36" s="32"/>
      <c r="F36" s="32"/>
      <c r="H36" s="27" t="s">
        <v>88</v>
      </c>
      <c r="I36" s="29" t="n">
        <v>12</v>
      </c>
      <c r="J36" s="37" t="s">
        <v>89</v>
      </c>
      <c r="K36" s="33" t="s">
        <v>90</v>
      </c>
      <c r="L36" s="33"/>
    </row>
    <row r="37" customFormat="false" ht="18" hidden="false" customHeight="true" outlineLevel="0" collapsed="false">
      <c r="B37" s="34" t="s">
        <v>91</v>
      </c>
      <c r="C37" s="35" t="s">
        <v>92</v>
      </c>
      <c r="D37" s="35"/>
      <c r="E37" s="35"/>
      <c r="F37" s="35"/>
      <c r="H37" s="24" t="s">
        <v>88</v>
      </c>
      <c r="I37" s="38" t="n">
        <v>8</v>
      </c>
      <c r="J37" s="29" t="s">
        <v>80</v>
      </c>
      <c r="K37" s="36" t="s">
        <v>93</v>
      </c>
      <c r="L37" s="36"/>
    </row>
    <row r="38" customFormat="false" ht="6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customFormat="false" ht="19.5" hidden="false" customHeight="true" outlineLevel="0" collapsed="false">
      <c r="B39" s="5" t="s">
        <v>94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19.5" hidden="false" customHeight="true" outlineLevel="0" collapsed="false">
      <c r="B40" s="14" t="s">
        <v>95</v>
      </c>
      <c r="C40" s="30" t="s">
        <v>73</v>
      </c>
      <c r="D40" s="30"/>
      <c r="E40" s="30"/>
      <c r="F40" s="30"/>
      <c r="H40" s="14" t="s">
        <v>74</v>
      </c>
      <c r="I40" s="14" t="s">
        <v>96</v>
      </c>
      <c r="J40" s="14" t="s">
        <v>97</v>
      </c>
      <c r="K40" s="30" t="s">
        <v>76</v>
      </c>
      <c r="L40" s="30"/>
    </row>
    <row r="41" customFormat="false" ht="18" hidden="false" customHeight="true" outlineLevel="0" collapsed="false">
      <c r="B41" s="34" t="s">
        <v>98</v>
      </c>
      <c r="C41" s="35" t="s">
        <v>99</v>
      </c>
      <c r="D41" s="35"/>
      <c r="E41" s="35"/>
      <c r="F41" s="35"/>
      <c r="H41" s="24" t="s">
        <v>100</v>
      </c>
      <c r="I41" s="39" t="s">
        <v>101</v>
      </c>
      <c r="J41" s="40" t="s">
        <v>102</v>
      </c>
      <c r="K41" s="36" t="s">
        <v>103</v>
      </c>
      <c r="L41" s="36"/>
    </row>
    <row r="42" customFormat="false" ht="18" hidden="false" customHeight="true" outlineLevel="0" collapsed="false">
      <c r="B42" s="31" t="s">
        <v>104</v>
      </c>
      <c r="C42" s="32" t="s">
        <v>105</v>
      </c>
      <c r="D42" s="32"/>
      <c r="E42" s="32"/>
      <c r="F42" s="32"/>
      <c r="H42" s="27" t="s">
        <v>106</v>
      </c>
      <c r="I42" s="41" t="s">
        <v>107</v>
      </c>
      <c r="J42" s="40" t="s">
        <v>102</v>
      </c>
      <c r="K42" s="33" t="s">
        <v>108</v>
      </c>
      <c r="L42" s="33"/>
    </row>
    <row r="43" customFormat="false" ht="18" hidden="false" customHeight="true" outlineLevel="0" collapsed="false">
      <c r="B43" s="34" t="s">
        <v>109</v>
      </c>
      <c r="C43" s="35" t="s">
        <v>110</v>
      </c>
      <c r="D43" s="35"/>
      <c r="E43" s="35"/>
      <c r="F43" s="35"/>
      <c r="H43" s="24" t="s">
        <v>111</v>
      </c>
      <c r="I43" s="39" t="s">
        <v>112</v>
      </c>
      <c r="J43" s="40" t="s">
        <v>102</v>
      </c>
      <c r="K43" s="36" t="s">
        <v>113</v>
      </c>
      <c r="L43" s="36"/>
    </row>
    <row r="44" customFormat="false" ht="18" hidden="false" customHeight="true" outlineLevel="0" collapsed="false">
      <c r="B44" s="31" t="s">
        <v>114</v>
      </c>
      <c r="C44" s="32" t="s">
        <v>115</v>
      </c>
      <c r="D44" s="32"/>
      <c r="E44" s="32"/>
      <c r="F44" s="32"/>
      <c r="H44" s="27" t="s">
        <v>11</v>
      </c>
      <c r="I44" s="41" t="s">
        <v>116</v>
      </c>
      <c r="J44" s="29" t="s">
        <v>117</v>
      </c>
      <c r="K44" s="33" t="s">
        <v>118</v>
      </c>
      <c r="L44" s="33"/>
    </row>
    <row r="45" customFormat="false" ht="6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customFormat="false" ht="16.5" hidden="false" customHeight="true" outlineLevel="0" collapsed="false">
      <c r="B46" s="42" t="s">
        <v>119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</row>
  </sheetData>
  <mergeCells count="43">
    <mergeCell ref="A1:L1"/>
    <mergeCell ref="A2:L2"/>
    <mergeCell ref="B5:L5"/>
    <mergeCell ref="C6:F6"/>
    <mergeCell ref="I6:K6"/>
    <mergeCell ref="C7:F7"/>
    <mergeCell ref="I7:K7"/>
    <mergeCell ref="C8:F8"/>
    <mergeCell ref="I8:K8"/>
    <mergeCell ref="B10:L10"/>
    <mergeCell ref="B12:L12"/>
    <mergeCell ref="B15:L17"/>
    <mergeCell ref="B19:L19"/>
    <mergeCell ref="C21:E21"/>
    <mergeCell ref="I21:J21"/>
    <mergeCell ref="C22:E22"/>
    <mergeCell ref="I22:J22"/>
    <mergeCell ref="C23:E23"/>
    <mergeCell ref="I23:J23"/>
    <mergeCell ref="B25:L25"/>
    <mergeCell ref="B32:L32"/>
    <mergeCell ref="C33:F33"/>
    <mergeCell ref="K33:L33"/>
    <mergeCell ref="C34:F34"/>
    <mergeCell ref="K34:L34"/>
    <mergeCell ref="C35:F35"/>
    <mergeCell ref="K35:L35"/>
    <mergeCell ref="C36:F36"/>
    <mergeCell ref="K36:L36"/>
    <mergeCell ref="C37:F37"/>
    <mergeCell ref="K37:L37"/>
    <mergeCell ref="B39:L39"/>
    <mergeCell ref="C40:F40"/>
    <mergeCell ref="K40:L40"/>
    <mergeCell ref="C41:F41"/>
    <mergeCell ref="K41:L41"/>
    <mergeCell ref="C42:F42"/>
    <mergeCell ref="K42:L42"/>
    <mergeCell ref="C43:F43"/>
    <mergeCell ref="K43:L43"/>
    <mergeCell ref="C44:F44"/>
    <mergeCell ref="K44:L44"/>
    <mergeCell ref="B46:L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A6B"/>
    <pageSetUpPr fitToPage="false"/>
  </sheetPr>
  <dimension ref="A1:S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32"/>
    <col collapsed="false" customWidth="true" hidden="false" outlineLevel="0" max="8" min="8" style="0" width="3"/>
    <col collapsed="false" customWidth="true" hidden="false" outlineLevel="0" max="9" min="9" style="0" width="9"/>
    <col collapsed="false" customWidth="true" hidden="false" outlineLevel="0" max="10" min="10" style="0" width="26"/>
    <col collapsed="false" customWidth="true" hidden="false" outlineLevel="0" max="12" min="11" style="0" width="14"/>
    <col collapsed="false" customWidth="true" hidden="false" outlineLevel="0" max="14" min="13" style="0" width="12"/>
    <col collapsed="false" customWidth="true" hidden="false" outlineLevel="0" max="15" min="15" style="0" width="36"/>
    <col collapsed="false" customWidth="true" hidden="false" outlineLevel="0" max="16" min="16" style="0" width="3"/>
  </cols>
  <sheetData>
    <row r="1" customFormat="false" ht="27.75" hidden="false" customHeight="true" outlineLevel="0" collapsed="false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121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4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6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9.5" hidden="false" customHeight="true" outlineLevel="0" collapsed="false">
      <c r="B5" s="5" t="s">
        <v>122</v>
      </c>
      <c r="C5" s="5"/>
      <c r="D5" s="5"/>
      <c r="E5" s="5"/>
      <c r="F5" s="5"/>
      <c r="G5" s="5"/>
    </row>
    <row r="6" customFormat="false" ht="19.5" hidden="false" customHeight="true" outlineLevel="0" collapsed="false">
      <c r="B6" s="13" t="s">
        <v>123</v>
      </c>
      <c r="C6" s="14" t="s">
        <v>124</v>
      </c>
      <c r="D6" s="14" t="s">
        <v>44</v>
      </c>
      <c r="E6" s="14" t="s">
        <v>45</v>
      </c>
      <c r="F6" s="14" t="s">
        <v>29</v>
      </c>
      <c r="G6" s="14" t="s">
        <v>46</v>
      </c>
    </row>
    <row r="7" customFormat="false" ht="15.75" hidden="false" customHeight="true" outlineLevel="0" collapsed="false">
      <c r="B7" s="43" t="s">
        <v>125</v>
      </c>
      <c r="C7" s="24" t="s">
        <v>126</v>
      </c>
      <c r="D7" s="24" t="s">
        <v>127</v>
      </c>
      <c r="E7" s="24" t="s">
        <v>128</v>
      </c>
      <c r="F7" s="23" t="s">
        <v>50</v>
      </c>
      <c r="G7" s="25" t="s">
        <v>129</v>
      </c>
    </row>
    <row r="8" customFormat="false" ht="15.75" hidden="false" customHeight="true" outlineLevel="0" collapsed="false">
      <c r="B8" s="44" t="s">
        <v>130</v>
      </c>
      <c r="C8" s="27" t="s">
        <v>131</v>
      </c>
      <c r="D8" s="27" t="s">
        <v>132</v>
      </c>
      <c r="E8" s="27" t="s">
        <v>49</v>
      </c>
      <c r="F8" s="23" t="s">
        <v>50</v>
      </c>
      <c r="G8" s="28" t="s">
        <v>133</v>
      </c>
    </row>
    <row r="9" customFormat="false" ht="15.75" hidden="false" customHeight="true" outlineLevel="0" collapsed="false">
      <c r="B9" s="43" t="s">
        <v>134</v>
      </c>
      <c r="C9" s="24" t="s">
        <v>135</v>
      </c>
      <c r="D9" s="24" t="s">
        <v>136</v>
      </c>
      <c r="E9" s="24" t="s">
        <v>137</v>
      </c>
      <c r="F9" s="23" t="s">
        <v>50</v>
      </c>
      <c r="G9" s="25" t="s">
        <v>138</v>
      </c>
    </row>
    <row r="10" customFormat="false" ht="15.75" hidden="false" customHeight="true" outlineLevel="0" collapsed="false">
      <c r="B10" s="44" t="s">
        <v>139</v>
      </c>
      <c r="C10" s="27" t="s">
        <v>140</v>
      </c>
      <c r="D10" s="27" t="s">
        <v>141</v>
      </c>
      <c r="E10" s="27" t="s">
        <v>142</v>
      </c>
      <c r="F10" s="23" t="s">
        <v>50</v>
      </c>
      <c r="G10" s="28" t="s">
        <v>143</v>
      </c>
    </row>
    <row r="11" customFormat="false" ht="15.75" hidden="false" customHeight="true" outlineLevel="0" collapsed="false">
      <c r="B11" s="43" t="s">
        <v>144</v>
      </c>
      <c r="C11" s="24" t="s">
        <v>145</v>
      </c>
      <c r="D11" s="24" t="s">
        <v>146</v>
      </c>
      <c r="E11" s="24" t="s">
        <v>147</v>
      </c>
      <c r="F11" s="23" t="s">
        <v>50</v>
      </c>
      <c r="G11" s="25" t="s">
        <v>148</v>
      </c>
    </row>
    <row r="12" customFormat="false" ht="15.75" hidden="false" customHeight="true" outlineLevel="0" collapsed="false">
      <c r="B12" s="44" t="s">
        <v>149</v>
      </c>
      <c r="C12" s="27" t="s">
        <v>150</v>
      </c>
      <c r="D12" s="27" t="s">
        <v>151</v>
      </c>
      <c r="E12" s="27" t="s">
        <v>57</v>
      </c>
      <c r="F12" s="23" t="s">
        <v>50</v>
      </c>
      <c r="G12" s="28" t="s">
        <v>152</v>
      </c>
    </row>
    <row r="13" customFormat="false" ht="15.75" hidden="false" customHeight="true" outlineLevel="0" collapsed="false">
      <c r="B13" s="43" t="s">
        <v>153</v>
      </c>
      <c r="C13" s="24" t="s">
        <v>154</v>
      </c>
      <c r="D13" s="24" t="s">
        <v>116</v>
      </c>
      <c r="E13" s="24" t="s">
        <v>63</v>
      </c>
      <c r="F13" s="23" t="s">
        <v>50</v>
      </c>
      <c r="G13" s="25" t="s">
        <v>155</v>
      </c>
    </row>
    <row r="14" customFormat="false" ht="15.75" hidden="false" customHeight="true" outlineLevel="0" collapsed="false">
      <c r="B14" s="44" t="s">
        <v>156</v>
      </c>
      <c r="C14" s="27" t="s">
        <v>141</v>
      </c>
      <c r="D14" s="27" t="s">
        <v>146</v>
      </c>
      <c r="E14" s="27" t="s">
        <v>54</v>
      </c>
      <c r="F14" s="40" t="s">
        <v>157</v>
      </c>
      <c r="G14" s="28" t="s">
        <v>158</v>
      </c>
    </row>
    <row r="15" customFormat="false" ht="15.75" hidden="false" customHeight="true" outlineLevel="0" collapsed="false">
      <c r="B15" s="43" t="s">
        <v>159</v>
      </c>
      <c r="C15" s="24" t="s">
        <v>160</v>
      </c>
      <c r="D15" s="24" t="s">
        <v>116</v>
      </c>
      <c r="E15" s="24" t="s">
        <v>62</v>
      </c>
      <c r="F15" s="23" t="s">
        <v>50</v>
      </c>
      <c r="G15" s="25" t="s">
        <v>161</v>
      </c>
    </row>
    <row r="16" customFormat="false" ht="15.75" hidden="false" customHeight="true" outlineLevel="0" collapsed="false">
      <c r="B16" s="44" t="s">
        <v>162</v>
      </c>
      <c r="C16" s="27" t="s">
        <v>112</v>
      </c>
      <c r="D16" s="27" t="s">
        <v>163</v>
      </c>
      <c r="E16" s="27" t="s">
        <v>54</v>
      </c>
      <c r="F16" s="29" t="s">
        <v>68</v>
      </c>
      <c r="G16" s="28" t="s">
        <v>164</v>
      </c>
    </row>
    <row r="17" customFormat="false" ht="15.75" hidden="false" customHeight="true" outlineLevel="0" collapsed="false">
      <c r="B17" s="43" t="s">
        <v>165</v>
      </c>
      <c r="C17" s="24" t="s">
        <v>166</v>
      </c>
      <c r="D17" s="24" t="s">
        <v>163</v>
      </c>
      <c r="E17" s="24" t="s">
        <v>54</v>
      </c>
      <c r="F17" s="29" t="s">
        <v>68</v>
      </c>
      <c r="G17" s="25" t="s">
        <v>167</v>
      </c>
    </row>
    <row r="18" customFormat="false" ht="15.75" hidden="false" customHeight="true" outlineLevel="0" collapsed="false">
      <c r="B18" s="44" t="s">
        <v>52</v>
      </c>
      <c r="C18" s="27" t="s">
        <v>168</v>
      </c>
      <c r="D18" s="27" t="s">
        <v>169</v>
      </c>
      <c r="E18" s="27" t="s">
        <v>54</v>
      </c>
      <c r="F18" s="26" t="s">
        <v>55</v>
      </c>
      <c r="G18" s="28" t="s">
        <v>170</v>
      </c>
    </row>
    <row r="19" customFormat="false" ht="15.75" hidden="false" customHeight="true" outlineLevel="0" collapsed="false">
      <c r="B19" s="43" t="s">
        <v>171</v>
      </c>
      <c r="C19" s="24" t="s">
        <v>172</v>
      </c>
      <c r="D19" s="24" t="s">
        <v>173</v>
      </c>
      <c r="E19" s="24" t="s">
        <v>54</v>
      </c>
      <c r="F19" s="26" t="s">
        <v>55</v>
      </c>
      <c r="G19" s="25" t="s">
        <v>174</v>
      </c>
    </row>
    <row r="20" customFormat="false" ht="15.75" hidden="false" customHeight="true" outlineLevel="0" collapsed="false">
      <c r="B20" s="44" t="s">
        <v>175</v>
      </c>
      <c r="C20" s="27" t="s">
        <v>172</v>
      </c>
      <c r="D20" s="27" t="s">
        <v>173</v>
      </c>
      <c r="E20" s="27" t="s">
        <v>54</v>
      </c>
      <c r="F20" s="26" t="s">
        <v>55</v>
      </c>
      <c r="G20" s="28" t="s">
        <v>176</v>
      </c>
    </row>
    <row r="21" customFormat="false" ht="15.75" hidden="false" customHeight="true" outlineLevel="0" collapsed="false">
      <c r="B21" s="43" t="s">
        <v>177</v>
      </c>
      <c r="C21" s="24" t="s">
        <v>178</v>
      </c>
      <c r="D21" s="24" t="s">
        <v>179</v>
      </c>
      <c r="E21" s="24" t="s">
        <v>54</v>
      </c>
      <c r="F21" s="26" t="s">
        <v>55</v>
      </c>
      <c r="G21" s="25"/>
    </row>
    <row r="22" customFormat="false" ht="15.75" hidden="false" customHeight="true" outlineLevel="0" collapsed="false">
      <c r="B22" s="44" t="s">
        <v>180</v>
      </c>
      <c r="C22" s="27" t="s">
        <v>178</v>
      </c>
      <c r="D22" s="27" t="s">
        <v>181</v>
      </c>
      <c r="E22" s="27" t="s">
        <v>54</v>
      </c>
      <c r="F22" s="26" t="s">
        <v>55</v>
      </c>
      <c r="G22" s="28" t="s">
        <v>182</v>
      </c>
    </row>
    <row r="23" customFormat="false" ht="15.75" hidden="false" customHeight="true" outlineLevel="0" collapsed="false">
      <c r="B23" s="43" t="s">
        <v>183</v>
      </c>
      <c r="C23" s="24" t="s">
        <v>184</v>
      </c>
      <c r="D23" s="24" t="s">
        <v>184</v>
      </c>
      <c r="E23" s="24" t="s">
        <v>54</v>
      </c>
      <c r="F23" s="26" t="s">
        <v>55</v>
      </c>
      <c r="G23" s="25" t="s">
        <v>185</v>
      </c>
    </row>
    <row r="24" customFormat="false" ht="15.75" hidden="false" customHeight="true" outlineLevel="0" collapsed="false">
      <c r="B24" s="44" t="s">
        <v>186</v>
      </c>
      <c r="C24" s="27" t="s">
        <v>184</v>
      </c>
      <c r="D24" s="27" t="s">
        <v>187</v>
      </c>
      <c r="E24" s="27" t="s">
        <v>54</v>
      </c>
      <c r="F24" s="26" t="s">
        <v>55</v>
      </c>
      <c r="G24" s="28" t="s">
        <v>188</v>
      </c>
    </row>
    <row r="25" customFormat="false" ht="15.75" hidden="false" customHeight="true" outlineLevel="0" collapsed="false">
      <c r="B25" s="43" t="s">
        <v>189</v>
      </c>
      <c r="C25" s="24" t="s">
        <v>190</v>
      </c>
      <c r="D25" s="24" t="s">
        <v>191</v>
      </c>
      <c r="E25" s="24" t="s">
        <v>54</v>
      </c>
      <c r="F25" s="26" t="s">
        <v>55</v>
      </c>
      <c r="G25" s="25" t="s">
        <v>192</v>
      </c>
    </row>
    <row r="26" customFormat="false" ht="6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customFormat="false" ht="19.5" hidden="false" customHeight="true" outlineLevel="0" collapsed="false">
      <c r="B27" s="5" t="s">
        <v>193</v>
      </c>
      <c r="C27" s="5"/>
      <c r="D27" s="5"/>
      <c r="E27" s="5"/>
      <c r="F27" s="5"/>
      <c r="G27" s="5"/>
    </row>
    <row r="28" customFormat="false" ht="19.5" hidden="false" customHeight="true" outlineLevel="0" collapsed="false">
      <c r="B28" s="13" t="s">
        <v>194</v>
      </c>
      <c r="C28" s="14" t="s">
        <v>195</v>
      </c>
      <c r="D28" s="14" t="s">
        <v>196</v>
      </c>
      <c r="E28" s="14" t="s">
        <v>75</v>
      </c>
      <c r="F28" s="13" t="s">
        <v>74</v>
      </c>
      <c r="G28" s="13" t="s">
        <v>197</v>
      </c>
      <c r="I28" s="13" t="s">
        <v>198</v>
      </c>
    </row>
    <row r="29" customFormat="false" ht="18" hidden="false" customHeight="true" outlineLevel="0" collapsed="false">
      <c r="B29" s="34" t="s">
        <v>199</v>
      </c>
      <c r="C29" s="45" t="s">
        <v>200</v>
      </c>
      <c r="D29" s="24" t="s">
        <v>201</v>
      </c>
      <c r="E29" s="29" t="n">
        <v>12</v>
      </c>
      <c r="F29" s="24" t="s">
        <v>79</v>
      </c>
      <c r="G29" s="29" t="s">
        <v>80</v>
      </c>
      <c r="I29" s="36" t="s">
        <v>202</v>
      </c>
      <c r="J29" s="36"/>
      <c r="K29" s="36"/>
      <c r="L29" s="36"/>
      <c r="M29" s="36"/>
      <c r="N29" s="36"/>
      <c r="O29" s="36"/>
    </row>
    <row r="30" customFormat="false" ht="18" hidden="false" customHeight="true" outlineLevel="0" collapsed="false">
      <c r="B30" s="31" t="s">
        <v>77</v>
      </c>
      <c r="C30" s="46" t="s">
        <v>203</v>
      </c>
      <c r="D30" s="27" t="s">
        <v>201</v>
      </c>
      <c r="E30" s="29" t="n">
        <v>15</v>
      </c>
      <c r="F30" s="27" t="s">
        <v>79</v>
      </c>
      <c r="G30" s="29" t="s">
        <v>80</v>
      </c>
      <c r="I30" s="33" t="s">
        <v>204</v>
      </c>
      <c r="J30" s="33"/>
      <c r="K30" s="33"/>
      <c r="L30" s="33"/>
      <c r="M30" s="33"/>
      <c r="N30" s="33"/>
      <c r="O30" s="33"/>
    </row>
    <row r="31" customFormat="false" ht="18" hidden="false" customHeight="true" outlineLevel="0" collapsed="false">
      <c r="B31" s="34" t="s">
        <v>205</v>
      </c>
      <c r="C31" s="45" t="s">
        <v>206</v>
      </c>
      <c r="D31" s="24" t="s">
        <v>207</v>
      </c>
      <c r="E31" s="29" t="n">
        <v>10</v>
      </c>
      <c r="F31" s="24" t="s">
        <v>208</v>
      </c>
      <c r="G31" s="37" t="s">
        <v>89</v>
      </c>
      <c r="I31" s="36" t="s">
        <v>209</v>
      </c>
      <c r="J31" s="36"/>
      <c r="K31" s="36"/>
      <c r="L31" s="36"/>
      <c r="M31" s="36"/>
      <c r="N31" s="36"/>
      <c r="O31" s="36"/>
    </row>
    <row r="32" customFormat="false" ht="18" hidden="false" customHeight="true" outlineLevel="0" collapsed="false">
      <c r="B32" s="31" t="s">
        <v>210</v>
      </c>
      <c r="C32" s="46" t="s">
        <v>211</v>
      </c>
      <c r="D32" s="27" t="s">
        <v>212</v>
      </c>
      <c r="E32" s="29" t="n">
        <v>9</v>
      </c>
      <c r="F32" s="27" t="s">
        <v>84</v>
      </c>
      <c r="G32" s="37" t="s">
        <v>89</v>
      </c>
      <c r="I32" s="33" t="s">
        <v>213</v>
      </c>
      <c r="J32" s="33"/>
      <c r="K32" s="33"/>
      <c r="L32" s="33"/>
      <c r="M32" s="33"/>
      <c r="N32" s="33"/>
      <c r="O32" s="33"/>
    </row>
    <row r="33" customFormat="false" ht="18" hidden="false" customHeight="true" outlineLevel="0" collapsed="false">
      <c r="B33" s="34" t="s">
        <v>82</v>
      </c>
      <c r="C33" s="45" t="s">
        <v>214</v>
      </c>
      <c r="D33" s="24" t="s">
        <v>215</v>
      </c>
      <c r="E33" s="29" t="n">
        <v>9</v>
      </c>
      <c r="F33" s="24" t="s">
        <v>84</v>
      </c>
      <c r="G33" s="29" t="s">
        <v>80</v>
      </c>
      <c r="I33" s="36" t="s">
        <v>216</v>
      </c>
      <c r="J33" s="36"/>
      <c r="K33" s="36"/>
      <c r="L33" s="36"/>
      <c r="M33" s="36"/>
      <c r="N33" s="36"/>
      <c r="O33" s="36"/>
    </row>
    <row r="34" customFormat="false" ht="18" hidden="false" customHeight="true" outlineLevel="0" collapsed="false">
      <c r="B34" s="31" t="s">
        <v>217</v>
      </c>
      <c r="C34" s="46" t="s">
        <v>218</v>
      </c>
      <c r="D34" s="27" t="s">
        <v>219</v>
      </c>
      <c r="E34" s="47" t="n">
        <v>8</v>
      </c>
      <c r="F34" s="27" t="s">
        <v>11</v>
      </c>
      <c r="G34" s="29" t="s">
        <v>80</v>
      </c>
      <c r="I34" s="33" t="s">
        <v>220</v>
      </c>
      <c r="J34" s="33"/>
      <c r="K34" s="33"/>
      <c r="L34" s="33"/>
      <c r="M34" s="33"/>
      <c r="N34" s="33"/>
      <c r="O34" s="33"/>
    </row>
    <row r="35" customFormat="false" ht="18" hidden="false" customHeight="true" outlineLevel="0" collapsed="false">
      <c r="B35" s="34" t="s">
        <v>221</v>
      </c>
      <c r="C35" s="45" t="s">
        <v>222</v>
      </c>
      <c r="D35" s="24" t="s">
        <v>223</v>
      </c>
      <c r="E35" s="38" t="n">
        <v>8</v>
      </c>
      <c r="F35" s="24" t="s">
        <v>224</v>
      </c>
      <c r="G35" s="29" t="s">
        <v>80</v>
      </c>
      <c r="I35" s="36" t="s">
        <v>225</v>
      </c>
      <c r="J35" s="36"/>
      <c r="K35" s="36"/>
      <c r="L35" s="36"/>
      <c r="M35" s="36"/>
      <c r="N35" s="36"/>
      <c r="O35" s="36"/>
    </row>
    <row r="36" customFormat="false" ht="18" hidden="false" customHeight="true" outlineLevel="0" collapsed="false">
      <c r="B36" s="31" t="s">
        <v>86</v>
      </c>
      <c r="C36" s="46" t="s">
        <v>226</v>
      </c>
      <c r="D36" s="27" t="s">
        <v>227</v>
      </c>
      <c r="E36" s="29" t="n">
        <v>12</v>
      </c>
      <c r="F36" s="27" t="s">
        <v>88</v>
      </c>
      <c r="G36" s="37" t="s">
        <v>89</v>
      </c>
      <c r="I36" s="33" t="s">
        <v>228</v>
      </c>
      <c r="J36" s="33"/>
      <c r="K36" s="33"/>
      <c r="L36" s="33"/>
      <c r="M36" s="33"/>
      <c r="N36" s="33"/>
      <c r="O36" s="33"/>
    </row>
    <row r="37" customFormat="false" ht="18" hidden="false" customHeight="true" outlineLevel="0" collapsed="false">
      <c r="B37" s="34" t="s">
        <v>91</v>
      </c>
      <c r="C37" s="45" t="s">
        <v>229</v>
      </c>
      <c r="D37" s="24" t="s">
        <v>227</v>
      </c>
      <c r="E37" s="38" t="n">
        <v>8</v>
      </c>
      <c r="F37" s="24" t="s">
        <v>88</v>
      </c>
      <c r="G37" s="29" t="s">
        <v>80</v>
      </c>
      <c r="I37" s="36" t="s">
        <v>230</v>
      </c>
      <c r="J37" s="36"/>
      <c r="K37" s="36"/>
      <c r="L37" s="36"/>
      <c r="M37" s="36"/>
      <c r="N37" s="36"/>
      <c r="O37" s="36"/>
    </row>
    <row r="38" customFormat="false" ht="6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customFormat="false" ht="19.5" hidden="false" customHeight="true" outlineLevel="0" collapsed="false">
      <c r="B39" s="5" t="s">
        <v>231</v>
      </c>
      <c r="C39" s="5"/>
      <c r="D39" s="5"/>
      <c r="E39" s="5"/>
      <c r="F39" s="5"/>
      <c r="G39" s="5"/>
    </row>
    <row r="40" customFormat="false" ht="19.5" hidden="false" customHeight="true" outlineLevel="0" collapsed="false">
      <c r="B40" s="13" t="s">
        <v>232</v>
      </c>
      <c r="C40" s="13" t="s">
        <v>233</v>
      </c>
      <c r="D40" s="14" t="s">
        <v>97</v>
      </c>
      <c r="E40" s="14" t="s">
        <v>74</v>
      </c>
      <c r="F40" s="13" t="s">
        <v>234</v>
      </c>
      <c r="G40" s="14" t="s">
        <v>29</v>
      </c>
      <c r="I40" s="13" t="s">
        <v>235</v>
      </c>
    </row>
    <row r="41" customFormat="false" ht="19.5" hidden="false" customHeight="true" outlineLevel="0" collapsed="false">
      <c r="B41" s="34" t="s">
        <v>98</v>
      </c>
      <c r="C41" s="45" t="s">
        <v>236</v>
      </c>
      <c r="D41" s="40" t="s">
        <v>102</v>
      </c>
      <c r="E41" s="24" t="s">
        <v>100</v>
      </c>
      <c r="F41" s="39" t="s">
        <v>237</v>
      </c>
      <c r="G41" s="29" t="s">
        <v>80</v>
      </c>
      <c r="I41" s="36" t="s">
        <v>238</v>
      </c>
      <c r="J41" s="36"/>
      <c r="K41" s="36"/>
      <c r="L41" s="36"/>
      <c r="M41" s="36"/>
      <c r="N41" s="36"/>
      <c r="O41" s="36"/>
    </row>
    <row r="42" customFormat="false" ht="19.5" hidden="false" customHeight="true" outlineLevel="0" collapsed="false">
      <c r="B42" s="31" t="s">
        <v>104</v>
      </c>
      <c r="C42" s="46" t="s">
        <v>239</v>
      </c>
      <c r="D42" s="40" t="s">
        <v>102</v>
      </c>
      <c r="E42" s="27" t="s">
        <v>106</v>
      </c>
      <c r="F42" s="41" t="s">
        <v>240</v>
      </c>
      <c r="G42" s="29" t="s">
        <v>80</v>
      </c>
      <c r="I42" s="33" t="s">
        <v>241</v>
      </c>
      <c r="J42" s="33"/>
      <c r="K42" s="33"/>
      <c r="L42" s="33"/>
      <c r="M42" s="33"/>
      <c r="N42" s="33"/>
      <c r="O42" s="33"/>
    </row>
    <row r="43" customFormat="false" ht="19.5" hidden="false" customHeight="true" outlineLevel="0" collapsed="false">
      <c r="B43" s="34" t="s">
        <v>109</v>
      </c>
      <c r="C43" s="45" t="s">
        <v>110</v>
      </c>
      <c r="D43" s="40" t="s">
        <v>102</v>
      </c>
      <c r="E43" s="24" t="s">
        <v>111</v>
      </c>
      <c r="F43" s="39" t="s">
        <v>242</v>
      </c>
      <c r="G43" s="29" t="s">
        <v>80</v>
      </c>
      <c r="I43" s="36" t="s">
        <v>243</v>
      </c>
      <c r="J43" s="36"/>
      <c r="K43" s="36"/>
      <c r="L43" s="36"/>
      <c r="M43" s="36"/>
      <c r="N43" s="36"/>
      <c r="O43" s="36"/>
    </row>
    <row r="44" customFormat="false" ht="19.5" hidden="false" customHeight="true" outlineLevel="0" collapsed="false">
      <c r="B44" s="31" t="s">
        <v>114</v>
      </c>
      <c r="C44" s="46" t="s">
        <v>115</v>
      </c>
      <c r="D44" s="29" t="s">
        <v>117</v>
      </c>
      <c r="E44" s="27" t="s">
        <v>11</v>
      </c>
      <c r="F44" s="41" t="s">
        <v>62</v>
      </c>
      <c r="G44" s="29" t="s">
        <v>80</v>
      </c>
      <c r="I44" s="33" t="s">
        <v>244</v>
      </c>
      <c r="J44" s="33"/>
      <c r="K44" s="33"/>
      <c r="L44" s="33"/>
      <c r="M44" s="33"/>
      <c r="N44" s="33"/>
      <c r="O44" s="33"/>
    </row>
    <row r="45" customFormat="false" ht="19.5" hidden="false" customHeight="true" outlineLevel="0" collapsed="false">
      <c r="B45" s="34" t="s">
        <v>245</v>
      </c>
      <c r="C45" s="45" t="s">
        <v>246</v>
      </c>
      <c r="D45" s="29" t="s">
        <v>117</v>
      </c>
      <c r="E45" s="24" t="s">
        <v>247</v>
      </c>
      <c r="F45" s="39" t="s">
        <v>237</v>
      </c>
      <c r="G45" s="29" t="s">
        <v>80</v>
      </c>
      <c r="I45" s="36" t="s">
        <v>248</v>
      </c>
      <c r="J45" s="36"/>
      <c r="K45" s="36"/>
      <c r="L45" s="36"/>
      <c r="M45" s="36"/>
      <c r="N45" s="36"/>
      <c r="O45" s="36"/>
    </row>
    <row r="46" customFormat="false" ht="6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customFormat="false" ht="19.5" hidden="false" customHeight="true" outlineLevel="0" collapsed="false">
      <c r="B47" s="5" t="s">
        <v>249</v>
      </c>
      <c r="C47" s="5"/>
      <c r="D47" s="5"/>
      <c r="E47" s="5"/>
      <c r="F47" s="5"/>
      <c r="G47" s="5"/>
    </row>
    <row r="48" customFormat="false" ht="19.5" hidden="false" customHeight="true" outlineLevel="0" collapsed="false">
      <c r="B48" s="13" t="s">
        <v>13</v>
      </c>
      <c r="C48" s="14" t="s">
        <v>250</v>
      </c>
      <c r="D48" s="14" t="s">
        <v>251</v>
      </c>
      <c r="E48" s="14" t="s">
        <v>252</v>
      </c>
      <c r="F48" s="14" t="s">
        <v>253</v>
      </c>
      <c r="G48" s="14" t="s">
        <v>29</v>
      </c>
    </row>
    <row r="49" customFormat="false" ht="16.5" hidden="false" customHeight="true" outlineLevel="0" collapsed="false">
      <c r="B49" s="17" t="s">
        <v>254</v>
      </c>
      <c r="C49" s="48" t="n">
        <v>42</v>
      </c>
      <c r="D49" s="23" t="n">
        <v>42</v>
      </c>
      <c r="E49" s="48" t="n">
        <v>0</v>
      </c>
      <c r="F49" s="23" t="s">
        <v>255</v>
      </c>
      <c r="G49" s="23" t="s">
        <v>50</v>
      </c>
    </row>
    <row r="50" customFormat="false" ht="16.5" hidden="false" customHeight="true" outlineLevel="0" collapsed="false">
      <c r="B50" s="21" t="s">
        <v>256</v>
      </c>
      <c r="C50" s="49" t="n">
        <v>87</v>
      </c>
      <c r="D50" s="23" t="n">
        <v>84</v>
      </c>
      <c r="E50" s="40" t="n">
        <v>3</v>
      </c>
      <c r="F50" s="23" t="s">
        <v>257</v>
      </c>
      <c r="G50" s="23" t="s">
        <v>50</v>
      </c>
    </row>
    <row r="51" customFormat="false" ht="16.5" hidden="false" customHeight="true" outlineLevel="0" collapsed="false">
      <c r="B51" s="17" t="s">
        <v>258</v>
      </c>
      <c r="C51" s="48" t="n">
        <v>35</v>
      </c>
      <c r="D51" s="23" t="n">
        <v>12</v>
      </c>
      <c r="E51" s="48" t="n">
        <v>0</v>
      </c>
      <c r="F51" s="23" t="s">
        <v>259</v>
      </c>
      <c r="G51" s="37" t="s">
        <v>89</v>
      </c>
    </row>
    <row r="52" customFormat="false" ht="16.5" hidden="false" customHeight="true" outlineLevel="0" collapsed="false">
      <c r="B52" s="21" t="s">
        <v>52</v>
      </c>
      <c r="C52" s="49" t="n">
        <v>18</v>
      </c>
      <c r="D52" s="23" t="n">
        <v>0</v>
      </c>
      <c r="E52" s="49" t="n">
        <v>0</v>
      </c>
      <c r="F52" s="23" t="s">
        <v>260</v>
      </c>
      <c r="G52" s="26" t="s">
        <v>55</v>
      </c>
    </row>
    <row r="53" customFormat="false" ht="16.5" hidden="false" customHeight="true" outlineLevel="0" collapsed="false">
      <c r="B53" s="50" t="s">
        <v>17</v>
      </c>
      <c r="C53" s="51" t="n">
        <v>182</v>
      </c>
      <c r="D53" s="52" t="n">
        <v>138</v>
      </c>
      <c r="E53" s="52" t="n">
        <v>3</v>
      </c>
      <c r="F53" s="52" t="s">
        <v>261</v>
      </c>
      <c r="G53" s="37" t="s">
        <v>89</v>
      </c>
    </row>
    <row r="54" customFormat="false" ht="15" hidden="false" customHeight="false" outlineLevel="0" collapsed="false">
      <c r="B54" s="25" t="s">
        <v>262</v>
      </c>
      <c r="C54" s="25"/>
      <c r="D54" s="25"/>
      <c r="E54" s="25"/>
      <c r="F54" s="25"/>
      <c r="G54" s="25"/>
    </row>
  </sheetData>
  <mergeCells count="21">
    <mergeCell ref="A1:O1"/>
    <mergeCell ref="A2:O2"/>
    <mergeCell ref="B5:G5"/>
    <mergeCell ref="B27:G27"/>
    <mergeCell ref="I29:O29"/>
    <mergeCell ref="I30:O30"/>
    <mergeCell ref="I31:O31"/>
    <mergeCell ref="I32:O32"/>
    <mergeCell ref="I33:O33"/>
    <mergeCell ref="I34:O34"/>
    <mergeCell ref="I35:O35"/>
    <mergeCell ref="I36:O36"/>
    <mergeCell ref="I37:O37"/>
    <mergeCell ref="B39:G39"/>
    <mergeCell ref="I41:O41"/>
    <mergeCell ref="I42:O42"/>
    <mergeCell ref="I43:O43"/>
    <mergeCell ref="I44:O44"/>
    <mergeCell ref="I45:O45"/>
    <mergeCell ref="B47:G47"/>
    <mergeCell ref="B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S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6"/>
    <col collapsed="false" customWidth="true" hidden="false" outlineLevel="0" max="9" min="9" style="0" width="36"/>
    <col collapsed="false" customWidth="true" hidden="false" outlineLevel="0" max="10" min="10" style="0" width="3"/>
  </cols>
  <sheetData>
    <row r="1" customFormat="false" ht="27.75" hidden="false" customHeight="true" outlineLevel="0" collapsed="false">
      <c r="A1" s="1" t="s">
        <v>263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264</v>
      </c>
      <c r="B2" s="2"/>
      <c r="C2" s="2"/>
      <c r="D2" s="2"/>
      <c r="E2" s="2"/>
      <c r="F2" s="2"/>
      <c r="G2" s="2"/>
      <c r="H2" s="2"/>
      <c r="I2" s="2"/>
    </row>
    <row r="3" customFormat="false" ht="4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6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9.5" hidden="false" customHeight="true" outlineLevel="0" collapsed="false">
      <c r="B5" s="5" t="s">
        <v>265</v>
      </c>
      <c r="C5" s="5"/>
      <c r="D5" s="5"/>
      <c r="E5" s="5"/>
      <c r="F5" s="5"/>
      <c r="G5" s="5"/>
      <c r="H5" s="5"/>
      <c r="I5" s="5"/>
    </row>
    <row r="6" customFormat="false" ht="21.75" hidden="false" customHeight="true" outlineLevel="0" collapsed="false">
      <c r="B6" s="13" t="s">
        <v>266</v>
      </c>
      <c r="C6" s="53" t="s">
        <v>30</v>
      </c>
      <c r="D6" s="53" t="s">
        <v>34</v>
      </c>
      <c r="E6" s="53" t="s">
        <v>267</v>
      </c>
      <c r="F6" s="53" t="s">
        <v>268</v>
      </c>
      <c r="G6" s="53" t="s">
        <v>38</v>
      </c>
      <c r="H6" s="53" t="s">
        <v>269</v>
      </c>
      <c r="I6" s="13" t="s">
        <v>270</v>
      </c>
    </row>
    <row r="7" customFormat="false" ht="18" hidden="false" customHeight="true" outlineLevel="0" collapsed="false">
      <c r="B7" s="15" t="s">
        <v>271</v>
      </c>
      <c r="C7" s="54" t="n">
        <v>55000</v>
      </c>
      <c r="D7" s="54" t="n">
        <v>44200</v>
      </c>
      <c r="E7" s="54" t="n">
        <v>8200</v>
      </c>
      <c r="F7" s="54" t="n">
        <v>2600</v>
      </c>
      <c r="G7" s="54" t="n">
        <v>52400</v>
      </c>
      <c r="H7" s="55" t="n">
        <v>2600</v>
      </c>
      <c r="I7" s="56" t="s">
        <v>272</v>
      </c>
    </row>
    <row r="8" customFormat="false" ht="18" hidden="false" customHeight="true" outlineLevel="0" collapsed="false">
      <c r="B8" s="6" t="s">
        <v>273</v>
      </c>
      <c r="C8" s="57" t="n">
        <v>195000</v>
      </c>
      <c r="D8" s="57" t="n">
        <v>142000</v>
      </c>
      <c r="E8" s="57" t="n">
        <v>45000</v>
      </c>
      <c r="F8" s="57" t="n">
        <v>8000</v>
      </c>
      <c r="G8" s="57" t="n">
        <v>187000</v>
      </c>
      <c r="H8" s="55" t="n">
        <v>8000</v>
      </c>
      <c r="I8" s="58" t="s">
        <v>274</v>
      </c>
    </row>
    <row r="9" customFormat="false" ht="18" hidden="false" customHeight="true" outlineLevel="0" collapsed="false">
      <c r="B9" s="15" t="s">
        <v>275</v>
      </c>
      <c r="C9" s="54" t="n">
        <v>60000</v>
      </c>
      <c r="D9" s="54" t="n">
        <v>48000</v>
      </c>
      <c r="E9" s="54" t="n">
        <v>9000</v>
      </c>
      <c r="F9" s="54" t="n">
        <v>3000</v>
      </c>
      <c r="G9" s="54" t="n">
        <v>57000</v>
      </c>
      <c r="H9" s="55" t="n">
        <v>3000</v>
      </c>
      <c r="I9" s="56" t="s">
        <v>276</v>
      </c>
    </row>
    <row r="10" customFormat="false" ht="18" hidden="false" customHeight="true" outlineLevel="0" collapsed="false">
      <c r="B10" s="6" t="s">
        <v>277</v>
      </c>
      <c r="C10" s="57" t="n">
        <v>35000</v>
      </c>
      <c r="D10" s="57" t="n">
        <v>28000</v>
      </c>
      <c r="E10" s="57" t="n">
        <v>5000</v>
      </c>
      <c r="F10" s="57" t="n">
        <v>2000</v>
      </c>
      <c r="G10" s="57" t="n">
        <v>33000</v>
      </c>
      <c r="H10" s="55" t="n">
        <v>2000</v>
      </c>
      <c r="I10" s="58" t="s">
        <v>278</v>
      </c>
    </row>
    <row r="11" customFormat="false" ht="18" hidden="false" customHeight="true" outlineLevel="0" collapsed="false">
      <c r="B11" s="15" t="s">
        <v>279</v>
      </c>
      <c r="C11" s="54" t="n">
        <v>40000</v>
      </c>
      <c r="D11" s="54" t="n">
        <v>20000</v>
      </c>
      <c r="E11" s="54" t="n">
        <v>16000</v>
      </c>
      <c r="F11" s="54" t="n">
        <v>4000</v>
      </c>
      <c r="G11" s="54" t="n">
        <v>36000</v>
      </c>
      <c r="H11" s="55" t="n">
        <v>4000</v>
      </c>
      <c r="I11" s="56" t="s">
        <v>280</v>
      </c>
    </row>
    <row r="12" customFormat="false" ht="18" hidden="false" customHeight="true" outlineLevel="0" collapsed="false">
      <c r="B12" s="6" t="s">
        <v>281</v>
      </c>
      <c r="C12" s="57" t="n">
        <v>25000</v>
      </c>
      <c r="D12" s="57" t="n">
        <v>25000</v>
      </c>
      <c r="E12" s="57" t="n">
        <v>0</v>
      </c>
      <c r="F12" s="57" t="n">
        <v>0</v>
      </c>
      <c r="G12" s="57" t="n">
        <v>25000</v>
      </c>
      <c r="H12" s="57" t="n">
        <v>0</v>
      </c>
      <c r="I12" s="58" t="s">
        <v>282</v>
      </c>
    </row>
    <row r="13" customFormat="false" ht="18" hidden="false" customHeight="true" outlineLevel="0" collapsed="false">
      <c r="B13" s="15" t="s">
        <v>283</v>
      </c>
      <c r="C13" s="54" t="n">
        <v>30000</v>
      </c>
      <c r="D13" s="54" t="n">
        <v>0</v>
      </c>
      <c r="E13" s="54" t="n">
        <v>5000</v>
      </c>
      <c r="F13" s="54" t="n">
        <v>25000</v>
      </c>
      <c r="G13" s="54" t="n">
        <v>30000</v>
      </c>
      <c r="H13" s="54" t="n">
        <v>0</v>
      </c>
      <c r="I13" s="56" t="s">
        <v>284</v>
      </c>
    </row>
    <row r="14" customFormat="false" ht="18" hidden="false" customHeight="true" outlineLevel="0" collapsed="false">
      <c r="B14" s="6" t="s">
        <v>65</v>
      </c>
      <c r="C14" s="57" t="n">
        <v>20000</v>
      </c>
      <c r="D14" s="57" t="n">
        <v>0</v>
      </c>
      <c r="E14" s="57" t="n">
        <v>8000</v>
      </c>
      <c r="F14" s="57" t="n">
        <v>12000</v>
      </c>
      <c r="G14" s="57" t="n">
        <v>20000</v>
      </c>
      <c r="H14" s="57" t="n">
        <v>0</v>
      </c>
      <c r="I14" s="58" t="s">
        <v>285</v>
      </c>
    </row>
    <row r="15" customFormat="false" ht="18" hidden="false" customHeight="true" outlineLevel="0" collapsed="false">
      <c r="B15" s="15" t="s">
        <v>286</v>
      </c>
      <c r="C15" s="54" t="n">
        <v>40000</v>
      </c>
      <c r="D15" s="54" t="n">
        <v>11600</v>
      </c>
      <c r="E15" s="54" t="n">
        <v>0</v>
      </c>
      <c r="F15" s="54" t="n">
        <v>28400</v>
      </c>
      <c r="G15" s="54" t="n">
        <v>40000</v>
      </c>
      <c r="H15" s="54" t="n">
        <v>0</v>
      </c>
      <c r="I15" s="56" t="s">
        <v>287</v>
      </c>
    </row>
    <row r="16" customFormat="false" ht="18" hidden="false" customHeight="true" outlineLevel="0" collapsed="false">
      <c r="B16" s="6" t="s">
        <v>288</v>
      </c>
      <c r="C16" s="57" t="n">
        <v>35000</v>
      </c>
      <c r="D16" s="57" t="n">
        <v>23200</v>
      </c>
      <c r="E16" s="57" t="n">
        <v>7400</v>
      </c>
      <c r="F16" s="57" t="n">
        <v>4400</v>
      </c>
      <c r="G16" s="57" t="n">
        <v>30600</v>
      </c>
      <c r="H16" s="55" t="n">
        <v>4400</v>
      </c>
      <c r="I16" s="58" t="s">
        <v>289</v>
      </c>
    </row>
    <row r="17" customFormat="false" ht="19.5" hidden="false" customHeight="true" outlineLevel="0" collapsed="false">
      <c r="B17" s="50" t="s">
        <v>290</v>
      </c>
      <c r="C17" s="59" t="n">
        <f aca="false">SUM(C7:C16)</f>
        <v>535000</v>
      </c>
      <c r="D17" s="59" t="n">
        <f aca="false">SUM(D7:D16)</f>
        <v>342000</v>
      </c>
      <c r="E17" s="59" t="n">
        <f aca="false">SUM(E7:E16)</f>
        <v>103600</v>
      </c>
      <c r="F17" s="59" t="n">
        <f aca="false">SUM(F7:F16)</f>
        <v>89400</v>
      </c>
      <c r="G17" s="59" t="n">
        <f aca="false">SUM(G7:G16)</f>
        <v>511000</v>
      </c>
      <c r="H17" s="59" t="n">
        <f aca="false">SUM(H7:H16)</f>
        <v>24000</v>
      </c>
      <c r="I17" s="60"/>
    </row>
    <row r="18" customFormat="false" ht="4.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customFormat="false" ht="51.75" hidden="false" customHeight="true" outlineLevel="0" collapsed="false">
      <c r="B19" s="61" t="s">
        <v>291</v>
      </c>
      <c r="C19" s="61"/>
      <c r="D19" s="61"/>
      <c r="E19" s="61"/>
      <c r="F19" s="61"/>
      <c r="G19" s="61"/>
      <c r="H19" s="61"/>
      <c r="I19" s="61"/>
    </row>
  </sheetData>
  <mergeCells count="4">
    <mergeCell ref="A1:I1"/>
    <mergeCell ref="A2:I2"/>
    <mergeCell ref="B5:I5"/>
    <mergeCell ref="B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2"/>
    <col collapsed="false" customWidth="true" hidden="false" outlineLevel="0" max="9" min="9" style="0" width="3"/>
    <col collapsed="false" customWidth="true" hidden="false" outlineLevel="0" max="10" min="10" style="0" width="28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4" min="14" style="0" width="3"/>
  </cols>
  <sheetData>
    <row r="1" customFormat="false" ht="27.75" hidden="false" customHeight="true" outlineLevel="0" collapsed="false">
      <c r="A1" s="1" t="s">
        <v>292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293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4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6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9.5" hidden="false" customHeight="true" outlineLevel="0" collapsed="false">
      <c r="B5" s="5" t="s">
        <v>294</v>
      </c>
      <c r="C5" s="5"/>
      <c r="D5" s="5"/>
      <c r="E5" s="5"/>
      <c r="F5" s="5"/>
      <c r="G5" s="5"/>
      <c r="H5" s="5"/>
    </row>
    <row r="6" customFormat="false" ht="19.5" hidden="false" customHeight="true" outlineLevel="0" collapsed="false">
      <c r="B6" s="13" t="s">
        <v>13</v>
      </c>
      <c r="C6" s="14" t="s">
        <v>250</v>
      </c>
      <c r="D6" s="14" t="s">
        <v>295</v>
      </c>
      <c r="E6" s="14" t="s">
        <v>251</v>
      </c>
      <c r="F6" s="14" t="s">
        <v>252</v>
      </c>
      <c r="G6" s="14" t="s">
        <v>253</v>
      </c>
      <c r="H6" s="14" t="s">
        <v>29</v>
      </c>
    </row>
    <row r="7" customFormat="false" ht="16.5" hidden="false" customHeight="true" outlineLevel="0" collapsed="false">
      <c r="B7" s="17" t="s">
        <v>296</v>
      </c>
      <c r="C7" s="48" t="n">
        <v>42</v>
      </c>
      <c r="D7" s="48" t="n">
        <v>42</v>
      </c>
      <c r="E7" s="23" t="n">
        <v>42</v>
      </c>
      <c r="F7" s="48" t="n">
        <v>0</v>
      </c>
      <c r="G7" s="23" t="s">
        <v>255</v>
      </c>
      <c r="H7" s="23" t="s">
        <v>50</v>
      </c>
    </row>
    <row r="8" customFormat="false" ht="16.5" hidden="false" customHeight="true" outlineLevel="0" collapsed="false">
      <c r="B8" s="21" t="s">
        <v>297</v>
      </c>
      <c r="C8" s="49" t="n">
        <v>87</v>
      </c>
      <c r="D8" s="49" t="n">
        <v>87</v>
      </c>
      <c r="E8" s="23" t="n">
        <v>84</v>
      </c>
      <c r="F8" s="40" t="n">
        <v>3</v>
      </c>
      <c r="G8" s="23" t="s">
        <v>257</v>
      </c>
      <c r="H8" s="23" t="s">
        <v>50</v>
      </c>
    </row>
    <row r="9" customFormat="false" ht="16.5" hidden="false" customHeight="true" outlineLevel="0" collapsed="false">
      <c r="B9" s="17" t="s">
        <v>298</v>
      </c>
      <c r="C9" s="48" t="n">
        <v>35</v>
      </c>
      <c r="D9" s="48" t="n">
        <v>12</v>
      </c>
      <c r="E9" s="23" t="n">
        <v>12</v>
      </c>
      <c r="F9" s="48" t="n">
        <v>0</v>
      </c>
      <c r="G9" s="23" t="s">
        <v>259</v>
      </c>
      <c r="H9" s="37" t="s">
        <v>89</v>
      </c>
    </row>
    <row r="10" customFormat="false" ht="16.5" hidden="false" customHeight="true" outlineLevel="0" collapsed="false">
      <c r="B10" s="21" t="s">
        <v>299</v>
      </c>
      <c r="C10" s="49" t="n">
        <v>18</v>
      </c>
      <c r="D10" s="49" t="n">
        <v>0</v>
      </c>
      <c r="E10" s="23" t="n">
        <v>0</v>
      </c>
      <c r="F10" s="49" t="n">
        <v>0</v>
      </c>
      <c r="G10" s="23" t="s">
        <v>260</v>
      </c>
      <c r="H10" s="26" t="s">
        <v>55</v>
      </c>
    </row>
    <row r="11" customFormat="false" ht="16.5" hidden="false" customHeight="true" outlineLevel="0" collapsed="false">
      <c r="B11" s="50" t="s">
        <v>300</v>
      </c>
      <c r="C11" s="51" t="n">
        <v>182</v>
      </c>
      <c r="D11" s="51" t="n">
        <v>141</v>
      </c>
      <c r="E11" s="52" t="n">
        <v>138</v>
      </c>
      <c r="F11" s="52" t="n">
        <v>3</v>
      </c>
      <c r="G11" s="52" t="s">
        <v>261</v>
      </c>
      <c r="H11" s="37" t="s">
        <v>89</v>
      </c>
    </row>
    <row r="12" customFormat="false" ht="15" hidden="false" customHeight="false" outlineLevel="0" collapsed="false">
      <c r="B12" s="25" t="s">
        <v>301</v>
      </c>
      <c r="C12" s="25"/>
      <c r="D12" s="25"/>
      <c r="E12" s="25"/>
      <c r="F12" s="25"/>
      <c r="G12" s="25"/>
      <c r="H12" s="25"/>
    </row>
    <row r="13" customFormat="false" ht="6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customFormat="false" ht="19.5" hidden="false" customHeight="true" outlineLevel="0" collapsed="false">
      <c r="B14" s="5" t="s">
        <v>302</v>
      </c>
      <c r="C14" s="5"/>
      <c r="D14" s="5"/>
      <c r="E14" s="5"/>
      <c r="F14" s="5"/>
      <c r="G14" s="5"/>
      <c r="H14" s="5"/>
    </row>
    <row r="15" customFormat="false" ht="19.5" hidden="false" customHeight="true" outlineLevel="0" collapsed="false">
      <c r="B15" s="14" t="s">
        <v>303</v>
      </c>
      <c r="C15" s="14" t="s">
        <v>304</v>
      </c>
      <c r="D15" s="14" t="s">
        <v>305</v>
      </c>
      <c r="E15" s="14" t="s">
        <v>306</v>
      </c>
      <c r="F15" s="14" t="s">
        <v>307</v>
      </c>
      <c r="G15" s="14" t="s">
        <v>308</v>
      </c>
      <c r="H15" s="14" t="s">
        <v>80</v>
      </c>
    </row>
    <row r="16" customFormat="false" ht="15.75" hidden="false" customHeight="true" outlineLevel="0" collapsed="false">
      <c r="B16" s="40" t="s">
        <v>102</v>
      </c>
      <c r="C16" s="49" t="n">
        <v>0</v>
      </c>
      <c r="D16" s="49" t="n">
        <v>0</v>
      </c>
      <c r="E16" s="49" t="n">
        <v>0</v>
      </c>
      <c r="F16" s="49" t="n">
        <v>0</v>
      </c>
      <c r="G16" s="49" t="n">
        <v>0</v>
      </c>
      <c r="H16" s="49" t="n">
        <v>0</v>
      </c>
    </row>
    <row r="17" customFormat="false" ht="15.75" hidden="false" customHeight="true" outlineLevel="0" collapsed="false">
      <c r="B17" s="29" t="s">
        <v>117</v>
      </c>
      <c r="C17" s="48" t="n">
        <v>0</v>
      </c>
      <c r="D17" s="38" t="n">
        <v>3</v>
      </c>
      <c r="E17" s="48" t="n">
        <v>0</v>
      </c>
      <c r="F17" s="23" t="n">
        <v>3</v>
      </c>
      <c r="G17" s="40" t="n">
        <v>3</v>
      </c>
      <c r="H17" s="48" t="n">
        <v>0</v>
      </c>
    </row>
    <row r="18" customFormat="false" ht="15.75" hidden="false" customHeight="true" outlineLevel="0" collapsed="false">
      <c r="B18" s="62" t="s">
        <v>309</v>
      </c>
      <c r="C18" s="49" t="n">
        <v>0</v>
      </c>
      <c r="D18" s="49" t="n">
        <v>0</v>
      </c>
      <c r="E18" s="49" t="n">
        <v>0</v>
      </c>
      <c r="F18" s="49" t="n">
        <v>0</v>
      </c>
      <c r="G18" s="49" t="n">
        <v>0</v>
      </c>
      <c r="H18" s="49" t="n">
        <v>0</v>
      </c>
    </row>
    <row r="19" customFormat="false" ht="15.75" hidden="false" customHeight="true" outlineLevel="0" collapsed="false">
      <c r="B19" s="38" t="s">
        <v>310</v>
      </c>
      <c r="C19" s="48" t="n">
        <v>0</v>
      </c>
      <c r="D19" s="48" t="n">
        <v>0</v>
      </c>
      <c r="E19" s="48" t="n">
        <v>0</v>
      </c>
      <c r="F19" s="48" t="n">
        <v>0</v>
      </c>
      <c r="G19" s="48" t="n">
        <v>0</v>
      </c>
      <c r="H19" s="48" t="n">
        <v>0</v>
      </c>
    </row>
    <row r="20" customFormat="false" ht="16.5" hidden="false" customHeight="true" outlineLevel="0" collapsed="false">
      <c r="B20" s="51" t="s">
        <v>290</v>
      </c>
      <c r="C20" s="52" t="n">
        <f aca="false">SUM(C16:C19)</f>
        <v>0</v>
      </c>
      <c r="D20" s="52" t="n">
        <f aca="false">SUM(D16:D19)</f>
        <v>3</v>
      </c>
      <c r="E20" s="52" t="n">
        <f aca="false">SUM(E16:E19)</f>
        <v>0</v>
      </c>
      <c r="F20" s="52" t="n">
        <f aca="false">SUM(F16:F19)</f>
        <v>3</v>
      </c>
      <c r="G20" s="52" t="n">
        <f aca="false">SUM(G16:G19)</f>
        <v>3</v>
      </c>
      <c r="H20" s="52" t="n">
        <f aca="false">SUM(H16:H19)</f>
        <v>0</v>
      </c>
    </row>
    <row r="21" customFormat="false" ht="6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customFormat="false" ht="19.5" hidden="false" customHeight="true" outlineLevel="0" collapsed="false">
      <c r="B22" s="5" t="s">
        <v>311</v>
      </c>
      <c r="C22" s="5"/>
      <c r="D22" s="5"/>
      <c r="E22" s="5"/>
      <c r="F22" s="5"/>
      <c r="G22" s="5"/>
      <c r="H22" s="5"/>
    </row>
    <row r="23" customFormat="false" ht="19.5" hidden="false" customHeight="true" outlineLevel="0" collapsed="false">
      <c r="B23" s="63" t="s">
        <v>312</v>
      </c>
      <c r="C23" s="63"/>
      <c r="D23" s="63"/>
      <c r="E23" s="63"/>
      <c r="F23" s="14" t="s">
        <v>313</v>
      </c>
      <c r="G23" s="14" t="s">
        <v>314</v>
      </c>
      <c r="H23" s="14" t="s">
        <v>29</v>
      </c>
    </row>
    <row r="24" customFormat="false" ht="15.75" hidden="false" customHeight="true" outlineLevel="0" collapsed="false">
      <c r="B24" s="64" t="s">
        <v>315</v>
      </c>
      <c r="C24" s="64"/>
      <c r="D24" s="64"/>
      <c r="E24" s="64"/>
      <c r="F24" s="47" t="s">
        <v>255</v>
      </c>
      <c r="G24" s="47" t="s">
        <v>255</v>
      </c>
      <c r="H24" s="23" t="s">
        <v>24</v>
      </c>
    </row>
    <row r="25" customFormat="false" ht="15.75" hidden="false" customHeight="true" outlineLevel="0" collapsed="false">
      <c r="B25" s="7" t="s">
        <v>316</v>
      </c>
      <c r="C25" s="7"/>
      <c r="D25" s="7"/>
      <c r="E25" s="7"/>
      <c r="F25" s="38" t="s">
        <v>255</v>
      </c>
      <c r="G25" s="38" t="s">
        <v>255</v>
      </c>
      <c r="H25" s="23" t="s">
        <v>24</v>
      </c>
    </row>
    <row r="26" customFormat="false" ht="15.75" hidden="false" customHeight="true" outlineLevel="0" collapsed="false">
      <c r="B26" s="64" t="s">
        <v>317</v>
      </c>
      <c r="C26" s="64"/>
      <c r="D26" s="64"/>
      <c r="E26" s="64"/>
      <c r="F26" s="47" t="s">
        <v>255</v>
      </c>
      <c r="G26" s="47" t="s">
        <v>255</v>
      </c>
      <c r="H26" s="23" t="s">
        <v>24</v>
      </c>
    </row>
    <row r="27" customFormat="false" ht="15.75" hidden="false" customHeight="true" outlineLevel="0" collapsed="false">
      <c r="B27" s="7" t="s">
        <v>318</v>
      </c>
      <c r="C27" s="7"/>
      <c r="D27" s="7"/>
      <c r="E27" s="7"/>
      <c r="F27" s="38" t="s">
        <v>319</v>
      </c>
      <c r="G27" s="38" t="s">
        <v>320</v>
      </c>
      <c r="H27" s="23" t="s">
        <v>24</v>
      </c>
    </row>
    <row r="28" customFormat="false" ht="15.75" hidden="false" customHeight="true" outlineLevel="0" collapsed="false">
      <c r="B28" s="64" t="s">
        <v>321</v>
      </c>
      <c r="C28" s="64"/>
      <c r="D28" s="64"/>
      <c r="E28" s="64"/>
      <c r="F28" s="47" t="s">
        <v>322</v>
      </c>
      <c r="G28" s="47" t="s">
        <v>322</v>
      </c>
      <c r="H28" s="23" t="s">
        <v>24</v>
      </c>
    </row>
    <row r="29" customFormat="false" ht="15.75" hidden="false" customHeight="true" outlineLevel="0" collapsed="false">
      <c r="B29" s="7" t="s">
        <v>323</v>
      </c>
      <c r="C29" s="7"/>
      <c r="D29" s="7"/>
      <c r="E29" s="7"/>
      <c r="F29" s="38" t="s">
        <v>322</v>
      </c>
      <c r="G29" s="38" t="s">
        <v>322</v>
      </c>
      <c r="H29" s="23" t="s">
        <v>24</v>
      </c>
    </row>
    <row r="30" customFormat="false" ht="15.75" hidden="false" customHeight="true" outlineLevel="0" collapsed="false">
      <c r="B30" s="64" t="s">
        <v>324</v>
      </c>
      <c r="C30" s="64"/>
      <c r="D30" s="64"/>
      <c r="E30" s="64"/>
      <c r="F30" s="47" t="s">
        <v>255</v>
      </c>
      <c r="G30" s="47" t="s">
        <v>255</v>
      </c>
      <c r="H30" s="23" t="s">
        <v>24</v>
      </c>
    </row>
    <row r="31" customFormat="false" ht="15.75" hidden="false" customHeight="true" outlineLevel="0" collapsed="false">
      <c r="B31" s="7" t="s">
        <v>325</v>
      </c>
      <c r="C31" s="7"/>
      <c r="D31" s="7"/>
      <c r="E31" s="7"/>
      <c r="F31" s="38" t="s">
        <v>255</v>
      </c>
      <c r="G31" s="38" t="s">
        <v>255</v>
      </c>
      <c r="H31" s="23" t="s">
        <v>24</v>
      </c>
    </row>
    <row r="32" customFormat="false" ht="15.75" hidden="false" customHeight="true" outlineLevel="0" collapsed="false">
      <c r="B32" s="64" t="s">
        <v>326</v>
      </c>
      <c r="C32" s="64"/>
      <c r="D32" s="64"/>
      <c r="E32" s="64"/>
      <c r="F32" s="47" t="s">
        <v>255</v>
      </c>
      <c r="G32" s="47" t="s">
        <v>327</v>
      </c>
      <c r="H32" s="29" t="s">
        <v>23</v>
      </c>
    </row>
    <row r="33" customFormat="false" ht="15.75" hidden="false" customHeight="true" outlineLevel="0" collapsed="false">
      <c r="B33" s="7" t="s">
        <v>328</v>
      </c>
      <c r="C33" s="7"/>
      <c r="D33" s="7"/>
      <c r="E33" s="7"/>
      <c r="F33" s="38" t="s">
        <v>50</v>
      </c>
      <c r="G33" s="38" t="s">
        <v>89</v>
      </c>
      <c r="H33" s="29" t="s">
        <v>23</v>
      </c>
    </row>
    <row r="34" customFormat="false" ht="15.75" hidden="false" customHeight="true" outlineLevel="0" collapsed="false">
      <c r="B34" s="64" t="s">
        <v>329</v>
      </c>
      <c r="C34" s="64"/>
      <c r="D34" s="64"/>
      <c r="E34" s="64"/>
      <c r="F34" s="47" t="s">
        <v>50</v>
      </c>
      <c r="G34" s="47" t="s">
        <v>55</v>
      </c>
      <c r="H34" s="40" t="s">
        <v>330</v>
      </c>
    </row>
  </sheetData>
  <mergeCells count="18">
    <mergeCell ref="A1:M1"/>
    <mergeCell ref="A2:M2"/>
    <mergeCell ref="B5:H5"/>
    <mergeCell ref="B12:H12"/>
    <mergeCell ref="B14:H14"/>
    <mergeCell ref="B22:H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2026-05-03T23:09:28Z</dcterms:created>
  <dc:creator>openpyxl</dc:creator>
  <dc:description/>
  <dc:language>en-US</dc:language>
  <cp:lastModifiedBy/>
  <dcterms:modified xsi:type="dcterms:W3CDTF">2026-05-03T23:09:28Z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