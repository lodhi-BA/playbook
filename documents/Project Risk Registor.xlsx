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sk Register" sheetId="1" state="visible" r:id="rId3"/>
    <sheet name="Risk Summary" sheetId="2" state="visible" r:id="rId4"/>
    <sheet name="Scoring Guid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<sst xmlns="http://schemas.openxmlformats.org/spreadsheetml/2006/main" count="459" uniqueCount="324">
  <si>
    <t xml:space="preserve">I-Property: Rental Property Management System</t>
  </si>
  <si>
    <t xml:space="preserve">PROJECT RISK REGISTER  |  Version 1.0  |  Based on SRS v3.0</t>
  </si>
  <si>
    <t xml:space="preserve">Risk ID</t>
  </si>
  <si>
    <t xml:space="preserve">Category</t>
  </si>
  <si>
    <t xml:space="preserve">Risk Title</t>
  </si>
  <si>
    <t xml:space="preserve">Description</t>
  </si>
  <si>
    <t xml:space="preserve">SRS Reference</t>
  </si>
  <si>
    <t xml:space="preserve">Probability
(1-5)</t>
  </si>
  <si>
    <t xml:space="preserve">Impact
(1-5)</t>
  </si>
  <si>
    <t xml:space="preserve">Risk Score
(P×I)</t>
  </si>
  <si>
    <t xml:space="preserve">Severity</t>
  </si>
  <si>
    <t xml:space="preserve">Mitigation Strategy</t>
  </si>
  <si>
    <t xml:space="preserve">Contingency Plan</t>
  </si>
  <si>
    <t xml:space="preserve">Risk Owner</t>
  </si>
  <si>
    <t xml:space="preserve">Status</t>
  </si>
  <si>
    <t xml:space="preserve">Target
Resolution Date</t>
  </si>
  <si>
    <t xml:space="preserve">Residual
Probability</t>
  </si>
  <si>
    <t xml:space="preserve">Residual
Impact</t>
  </si>
  <si>
    <t xml:space="preserve">R-001</t>
  </si>
  <si>
    <t xml:space="preserve">Integration</t>
  </si>
  <si>
    <t xml:space="preserve">Oracle Financial API Unavailability</t>
  </si>
  <si>
    <t xml:space="preserve">Oracle Financial APIs or batch interfaces may not be available or finalized in time. i-Property depends on these for payment batch transmission and expense accrual posting. Any delay or schema mismatch directly blocks Finance from processing payments.</t>
  </si>
  <si>
    <t xml:space="preserve">SRS §8.3, IDD-001</t>
  </si>
  <si>
    <t xml:space="preserve">Engage the Oracle Financial technical team early to confirm API availability and obtain finalized schemas. Define a batch file fallback (CSV/SFTP) as an interim integration method. Build retry logic with exponential backoff (3 retries at 10-minute intervals) and System Admin alerting into the integration layer.</t>
  </si>
  <si>
    <t xml:space="preserve">Activate the manual CSV export from i-Property and instruct Finance to import directly into Oracle Financial until the API is restored. Document the manual procedure in DP-001 Section 6.</t>
  </si>
  <si>
    <t xml:space="preserve">Integration Architect</t>
  </si>
  <si>
    <t xml:space="preserve">Open</t>
  </si>
  <si>
    <t xml:space="preserve">2025-07-01</t>
  </si>
  <si>
    <t xml:space="preserve">R-002</t>
  </si>
  <si>
    <t xml:space="preserve">Oracle Financial Schema Mismatch on Payment Batch</t>
  </si>
  <si>
    <t xml:space="preserve">Field mappings between i-Property payment batch payload and Oracle Financial's expected schema may not align, causing OF 400 errors on batch transmission. This would block payment releases for the affected month.</t>
  </si>
  <si>
    <t xml:space="preserve">SRS §8.3, IDD-001 §3.1</t>
  </si>
  <si>
    <t xml:space="preserve">Conduct a field mapping workshop with the Finance and Oracle Financial teams before development begins. Document all mappings in IDD-001 Table 2. Implement a sandbox integration environment for end-to-end testing before go-live. Add schema validation on the i-Property side before transmitting.</t>
  </si>
  <si>
    <t xml:space="preserve">Halt payment batch transmission. System Admin and Finance are alerted per the OF 400 error handling spec. The BA and Integration Architect resolve the schema discrepancy and deploy a hotfix. Finance is notified of the delay and given an estimated resolution time.</t>
  </si>
  <si>
    <t xml:space="preserve">2025-07-15</t>
  </si>
  <si>
    <t xml:space="preserve">R-003</t>
  </si>
  <si>
    <t xml:space="preserve">Technical</t>
  </si>
  <si>
    <t xml:space="preserve">PDF Generation Engine Failure or Timeout</t>
  </si>
  <si>
    <t xml:space="preserve">The Approval Summary PDF engine may fail or exceed the 10-second SLA defined in FR-NR-04. This blocks the Print Queue (SCR-11) and prevents Area Admin from printing the agreement package, stalling the post-completion process.</t>
  </si>
  <si>
    <t xml:space="preserve">SRS §6.3, FR-NR-04</t>
  </si>
  <si>
    <t xml:space="preserve">Select a proven PDF generation library during architecture design. Define a polling mechanism (HTTP 202 with poll_url) for timeouts as specified in ERR-PDF-04-001. Implement a FAILED state alert to System Admin. Include PDF generation in load testing at P95 under 100 concurrent users.</t>
  </si>
  <si>
    <t xml:space="preserve">System Admin is alerted automatically. Area Admin is shown a user-friendly message with a log reference ID. IT Support manually regenerates the PDF via an admin endpoint. The print package is delivered to Area Admin as soon as generation succeeds.</t>
  </si>
  <si>
    <t xml:space="preserve">Development Lead</t>
  </si>
  <si>
    <t xml:space="preserve">2025-08-01</t>
  </si>
  <si>
    <t xml:space="preserve">R-004</t>
  </si>
  <si>
    <t xml:space="preserve">Concurrent Submission Race Condition on Reference ID</t>
  </si>
  <si>
    <t xml:space="preserve">Under high concurrency, two Area Officers submitting requests simultaneously could theoretically receive duplicate reference IDs if the DB sequence object is not correctly implemented. FR-NR-01 mandates globally unique IDs using a DB sequence.</t>
  </si>
  <si>
    <t xml:space="preserve">SRS §6.1, FR-NR-01 TC-001-D</t>
  </si>
  <si>
    <t xml:space="preserve">Use a database-native sequence object (e.g., PostgreSQL SEQUENCE) for reference ID generation. Never generate IDs in application code. Include concurrency test TC-001-D (50 simultaneous submissions) in TP-001 before UAT. Validate uniqueness constraint on the reference_id column in DB.</t>
  </si>
  <si>
    <t xml:space="preserve">If duplicates are detected in production, immediately freeze new submissions and audit the requests table. Apply a hotfix to the sequence logic and re-sequence affected records. Communicate impacted users with corrected reference IDs.</t>
  </si>
  <si>
    <t xml:space="preserve">R-005</t>
  </si>
  <si>
    <t xml:space="preserve">Optimistic Locking Failures on Concurrent Approvals</t>
  </si>
  <si>
    <t xml:space="preserve">Two approvers acting on the same request simultaneously could cause version conflicts. The PATCH /requests endpoint uses a version integer for optimistic locking. Poorly handled version mismatches result in lost updates or confusing error messages to approvers.</t>
  </si>
  <si>
    <t xml:space="preserve">SRS §8.1, PATCH /requests</t>
  </si>
  <si>
    <t xml:space="preserve">Enforce optimistic locking on all PATCH operations. Return HTTP 409 with a clear message directing the user to refresh and retry. Test concurrent approval scenarios (TC-002-D equivalent for simultaneous actions) in TP-001. Display the version conflict message in plain language on the UI.</t>
  </si>
  <si>
    <t xml:space="preserve">The second approver sees a 409 error and refreshes. The request detail page reloads with the latest state. No data is lost. Monitor for repeated 409 occurrences in production logs which may indicate a process issue with multiple approvers assigned to the same area.</t>
  </si>
  <si>
    <t xml:space="preserve">2025-08-15</t>
  </si>
  <si>
    <t xml:space="preserve">R-006</t>
  </si>
  <si>
    <t xml:space="preserve">Security</t>
  </si>
  <si>
    <t xml:space="preserve">Unauthorized Cross-Area Data Access</t>
  </si>
  <si>
    <t xml:space="preserve">An Area Officer or Admin from one area may attempt to access or modify requests, agreements, or reports belonging to another area. NFR-04 requires RBAC enforced at the API level, not only in the UI. A UI-only control is bypassable via direct API calls.</t>
  </si>
  <si>
    <t xml:space="preserve">SRS §11 NFR-04, §4.2</t>
  </si>
  <si>
    <t xml:space="preserve">Implement RBAC at the API endpoint level on every request. Area filtering must be applied server-side before any data is returned. Build and execute the full role-based test matrix from NFR-04 covering all 7 roles against all 13 screen endpoints. Include cross-area tests (e.g., Area Officer USR-A accessing AREA-B data) in TP-001 Section 5.</t>
  </si>
  <si>
    <t xml:space="preserve">On detection of a cross-area access attempt: audit_log captures the user ID, IP, and timestamp. System Admin is alerted. The user account is temporarily suspended pending review. IT Security conducts an access audit and confirms no data was compromised.</t>
  </si>
  <si>
    <t xml:space="preserve">Solution Architect</t>
  </si>
  <si>
    <t xml:space="preserve">R-007</t>
  </si>
  <si>
    <t xml:space="preserve">Sensitive Data Exposure in Logs or API Responses</t>
  </si>
  <si>
    <t xml:space="preserve">Bank account numbers and IBAN fields must never appear in application logs, API responses (unmasked), or client-side storage. NFR-05 requires AES-256 encryption at rest and masking to last 4 digits in all API responses. A development oversight could lead to a data breach.</t>
  </si>
  <si>
    <t xml:space="preserve">SRS §11 NFR-05, §10.3</t>
  </si>
  <si>
    <t xml:space="preserve">Define a data classification policy before development begins. Annotate bank_account_no and iban as sensitive fields in the data model. Implement an automated log scanner in the CI/CD pipeline that fails the build if sensitive patterns (account numbers, IBANs) are detected in logs. Conduct an API response audit (as per NFR-05 verification) before go-live.</t>
  </si>
  <si>
    <t xml:space="preserve">If a breach is suspected: immediately rotate all API keys and invalidate active sessions. Engage the Head of Legal and Head of Internal Audit. Conduct a forensic log audit. Notify affected landlords per regulatory requirements. Document the incident and remediation steps.</t>
  </si>
  <si>
    <t xml:space="preserve">R-008</t>
  </si>
  <si>
    <t xml:space="preserve">JWT Token Compromise or Session Hijacking</t>
  </si>
  <si>
    <t xml:space="preserve">JWT tokens with an 8-hour expiry could be intercepted if TLS is not properly enforced or if tokens are stored insecurely client-side. A compromised token grants the attacker full access for the token's remaining lifetime.</t>
  </si>
  <si>
    <t xml:space="preserve">SRS §5.2, §11 NFR-03</t>
  </si>
  <si>
    <t xml:space="preserve">Enforce HTTPS with TLS 1.2 minimum on all endpoints (HTTP redirected to HTTPS per NFR-05). Store JWT only in memory or HttpOnly cookies, never in localStorage. Implement a token revocation list for logout and account lockout events. Include JWT penetration tests in the security testing phase.</t>
  </si>
  <si>
    <t xml:space="preserve">On suspected token compromise: the System Admin revokes the token via the token revocation list. The affected user is forced to re-authenticate. Audit logs are reviewed to identify any actions taken under the compromised token. Affected records are flagged for review.</t>
  </si>
  <si>
    <t xml:space="preserve">R-009</t>
  </si>
  <si>
    <t xml:space="preserve">Data Integrity</t>
  </si>
  <si>
    <t xml:space="preserve">Audit Log Tampering or Deletion</t>
  </si>
  <si>
    <t xml:space="preserve">NFR-06 requires that the audit_log table permits no UPDATE or DELETE at the DB level. If this DB-role enforcement is not correctly configured, audit logs could be modified or deleted, compromising the organization's compliance and forensic capabilities.</t>
  </si>
  <si>
    <t xml:space="preserve">SRS §5.3, §11 NFR-06</t>
  </si>
  <si>
    <t xml:space="preserve">Enforce audit_log immutability at the database role level before go-live. The application database user must not have UPDATE or DELETE privileges on the audit_log table. Include a verification step in the deployment checklist: attempt DELETE as the application DB user and confirm permission denied (as specified in NFR-06 verification).</t>
  </si>
  <si>
    <t xml:space="preserve">If tampering is detected: engage Head of Internal Audit immediately. Restore audit logs from the offsite backup. Conduct a full access review to identify how the tamper was possible. Escalate to Legal if regulatory reporting is required.</t>
  </si>
  <si>
    <t xml:space="preserve">Database Architect</t>
  </si>
  <si>
    <t xml:space="preserve">R-010</t>
  </si>
  <si>
    <t xml:space="preserve">Duplicate Utility Bill Submissions Not Caught</t>
  </si>
  <si>
    <t xml:space="preserve">The duplicate check in FR-UT-01 (same agreement + bill_type + billing_period with status not REJECTED) must be implemented correctly. A missed duplicate could result in double payment by Finance, causing financial loss.</t>
  </si>
  <si>
    <t xml:space="preserve">SRS §6.7, FR-UT-01 ERR-UT-01-003</t>
  </si>
  <si>
    <t xml:space="preserve">Implement the duplicate check as a server-side query before inserting any utility bill record. Add a unique composite index on (agreement_id, bill_type, billing_period) in the DB for records where status is not REJECTED. Include test TC-008-B (same bill submitted twice) as a regression test in every release cycle.</t>
  </si>
  <si>
    <t xml:space="preserve">If a duplicate payment is identified post-approval: Finance is notified immediately to halt the Oracle Financial payment for the duplicate entry. The duplicate utility bill record is marked as REJECTED with an audit note. Finance and ABH are notified of the correction.</t>
  </si>
  <si>
    <t xml:space="preserve">R-011</t>
  </si>
  <si>
    <t xml:space="preserve">Workflow</t>
  </si>
  <si>
    <t xml:space="preserve">Approval SLA Breach with No Escalation</t>
  </si>
  <si>
    <t xml:space="preserve">If a request sits in PENDING_ABH, PENDING_DIRECTOR, or PENDING_ADMIN_HO beyond the configured SLA threshold and NE-14 fails to fire, the request stalls silently. This blocks downstream Finance payment processing and agreement activation.</t>
  </si>
  <si>
    <t xml:space="preserve">SRS §12 NE-14, §11 NFR-01</t>
  </si>
  <si>
    <t xml:space="preserve">Implement the SLA breach notification (NE-14) as a scheduled job that runs every 30 minutes. Test the job in the staging environment with a shortened SLA threshold. Configure the SCR-04 Approval Queue to highlight rows in red when the SLA is breached (Days Pending column per the UI spec). Set default SLA thresholds per stage before UAT.</t>
  </si>
  <si>
    <t xml:space="preserve">System Admin manually escalates the stalled request to the relevant manager. The BA reviews the queue daily during the first 3 months post go-live. SLA thresholds are reviewed and adjusted after the first month of production data.</t>
  </si>
  <si>
    <t xml:space="preserve">BA / PMO</t>
  </si>
  <si>
    <t xml:space="preserve">2025-09-01</t>
  </si>
  <si>
    <t xml:space="preserve">R-012</t>
  </si>
  <si>
    <t xml:space="preserve">Vacated Payment Stop Not Executed Atomically</t>
  </si>
  <si>
    <t xml:space="preserve">FR-VT-01 requires that the payment stop flag, the audit log entry, and the Finance notification (NE-10) all execute within a single database transaction. If the transaction is not atomic and a partial failure occurs, Finance may not be notified while the payment_stopped flag is not set, leading to continued erroneous payments.</t>
  </si>
  <si>
    <t xml:space="preserve">SRS §6.6, FR-VT-01 ERR-VT-01-001</t>
  </si>
  <si>
    <t xml:space="preserve">Implement the vacated payment stop as a single ACID-compliant database transaction wrapping all three operations. Write a specific integration test (TC-007-D) that simulates a DB failure mid-transaction and verifies complete rollback: payment_stopped remains false and Finance is not notified. Deploy this test as a mandatory regression test.</t>
  </si>
  <si>
    <t xml:space="preserve">If a partial failure is detected: System Admin receives an automated alert per ERR-VT-01-001. Manual intervention procedure documented in DP-001 Section 6 is followed. Finance is contacted directly via phone to confirm the stop payment. The BA confirms the payment_stopped flag is correctly set before the next payment scheduler run.</t>
  </si>
  <si>
    <t xml:space="preserve">R-013</t>
  </si>
  <si>
    <t xml:space="preserve">Monthly Payment Scheduler Fails to Trigger</t>
  </si>
  <si>
    <t xml:space="preserve">The payment summary auto-generation scheduler (FR-NR-06) is triggered at 08:00 PST on the last working day of the month. A scheduler failure means no payment summary is generated, no NE-07 is sent to ABH, and Finance receives no approved report for the month.</t>
  </si>
  <si>
    <t xml:space="preserve">SRS §6.5, FR-NR-06 ERR-PS-06-001</t>
  </si>
  <si>
    <t xml:space="preserve">Monitor the scheduler using a job monitoring tool (e.g., configured in DP-001). Implement an automated alert to System Admin if the job does not execute within a 15-minute window of its scheduled time. Provide a manual trigger endpoint (POST /api/v1/payment-summary/generate) accessible to System Admin. Test the scheduler in the staging environment before go-live.</t>
  </si>
  <si>
    <t xml:space="preserve">System Admin executes the manual trigger endpoint immediately on detecting the missed run. ABH is notified of the delay and the corrected generation time. If the delay causes a month-end reporting issue, Finance and the BA escalate to IT Head for priority resolution.</t>
  </si>
  <si>
    <t xml:space="preserve">IT Infrastructure</t>
  </si>
  <si>
    <t xml:space="preserve">R-014</t>
  </si>
  <si>
    <t xml:space="preserve">Form Abandonment Data Leakage</t>
  </si>
  <si>
    <t xml:space="preserve">FR-NR-05 requires that no partial data is persisted to the database if a user navigates away from an unsaved form. A failure in the router guard or beforeunload implementation could result in orphan draft records in the requests table, causing data inconsistency.</t>
  </si>
  <si>
    <t xml:space="preserve">SRS §6.4, FR-NR-05</t>
  </si>
  <si>
    <t xml:space="preserve">Implement the router guard and browser beforeunload interceptor consistently across all create and edit forms (SCR-03, SCR-07, SCR-08). No data is written to the DB until the Submit button is clicked. Execute tests TC-005-A through TC-005-E across Chrome, Firefox, and Edge as part of the regression suite.</t>
  </si>
  <si>
    <t xml:space="preserve">If orphan draft records are identified in production: the System Admin runs a cleanup query to remove records in DRAFT status that are older than 24 hours with no associated submission event. The development team patches the router guard logic in the next release.</t>
  </si>
  <si>
    <t xml:space="preserve">R-015</t>
  </si>
  <si>
    <t xml:space="preserve">Notification</t>
  </si>
  <si>
    <t xml:space="preserve">Critical NE-10 Delivery Failure (Urgent Stop Payment)</t>
  </si>
  <si>
    <t xml:space="preserve">NE-10 is the urgent Finance stop-payment notification triggered on Director approval of a vacated request. If this email fails to deliver and all 3 retries are exhausted, Finance may not be aware that payments must stop, leading to erroneous disbursements to a vacated agreement.</t>
  </si>
  <si>
    <t xml:space="preserve">SRS §12 NE-10, §6.6</t>
  </si>
  <si>
    <t xml:space="preserve">Mark NE-10 as Critical priority in the notification engine. Implement the 3-retry mechanism at 5-minute intervals. On final retry failure: alert System Admin immediately with the log_id. Configure a secondary delivery channel (e.g., in-app alert on Finance SCR-02 dashboard) as a fallback. Include NE-10 delivery in go-live acceptance criteria.</t>
  </si>
  <si>
    <t xml:space="preserve">System Admin contacts Finance directly by phone upon receiving the failed notification alert. Finance confirms awareness and manually logs the stop-payment action in Oracle Financial. The IT team investigates the SMTP relay failure and restores it. A retrospective review determines whether additional alerting is needed.</t>
  </si>
  <si>
    <t xml:space="preserve">R-016</t>
  </si>
  <si>
    <t xml:space="preserve">SMTP Relay Unavailability Blocking All Notifications</t>
  </si>
  <si>
    <t xml:space="preserve">The notification engine depends on the organization's SMTP relay. If the relay is unavailable, all 14 notification events are blocked. Approval workflows stall because ABH, Director, and Admin HO do not receive action-required emails.</t>
  </si>
  <si>
    <t xml:space="preserve">SRS §12, §5.1 Notification tier</t>
  </si>
  <si>
    <t xml:space="preserve">Configure the notification job queue with retry logic (3 retries at 5-minute intervals per the spec). Log all failures to notification_failures table. Implement an in-app notification panel on SCR-02 as a redundant delivery channel so approvers can see pending actions even without email. Monitor SMTP relay uptime separately.</t>
  </si>
  <si>
    <t xml:space="preserve">System Admin is alerted when the notification_failures table accumulates entries above a threshold. The in-app dashboard counts serve as the primary action indicator during the SMTP outage. SMTP relay is escalated to IT Infrastructure for priority resolution. All failed notifications are retried once the relay is restored.</t>
  </si>
  <si>
    <t xml:space="preserve">R-017</t>
  </si>
  <si>
    <t xml:space="preserve">Performance</t>
  </si>
  <si>
    <t xml:space="preserve">Report Export Performance Under Load</t>
  </si>
  <si>
    <t xml:space="preserve">The Reports Module (SCR-10) and Monthly Payment Summary (SCR-09) generate Excel and PDF exports. Under NFR-01, a 10,000-row report export must complete within 30 seconds. Without pagination and async generation, large exports could timeout and degrade the system for concurrent users.</t>
  </si>
  <si>
    <t xml:space="preserve">SRS §11 NFR-01, §9 SCR-09, SCR-10</t>
  </si>
  <si>
    <t xml:space="preserve">Implement report generation as an asynchronous background job. Return a download link to the user when ready rather than blocking the HTTP response. Apply DB query optimizations (indexed filters on area, date range, status) before export. Include the 10,000-row export test in the JMeter load test plan documented in TP-001 Section 8.</t>
  </si>
  <si>
    <t xml:space="preserve">If a report times out in production: the user is shown a retry option. The IT team investigates the slow query using execution plans. A DB index is added or the query is optimized in a patch release. Finance is provided the export via manual System Admin action if urgently needed.</t>
  </si>
  <si>
    <t xml:space="preserve">R-018</t>
  </si>
  <si>
    <t xml:space="preserve">Database Connection Pool Exhaustion</t>
  </si>
  <si>
    <t xml:space="preserve">NFR-09 specifies a DB connection pool of minimum 10 and maximum 50 connections. During peak month-end processing (payment summary generation + concurrent approvals + report exports), the pool could be exhausted, causing request queuing or failures.</t>
  </si>
  <si>
    <t xml:space="preserve">SRS §11 NFR-09, §6.5</t>
  </si>
  <si>
    <t xml:space="preserve">Monitor DB connection pool utilization during load testing (NFR-01 JMeter test). Set up alerts when pool utilization exceeds 80%. Configure connection timeout and queue depth in the application server. Review and tune pool settings based on actual usage patterns after go-live.</t>
  </si>
  <si>
    <t xml:space="preserve">If pool exhaustion is detected in production: System Admin temporarily restricts non-critical report exports. The development team increases the pool maximum configuration and deploys a hotfix. The IT Architecture team reviews whether additional read replicas are needed for reporting workloads.</t>
  </si>
  <si>
    <t xml:space="preserve">R-019</t>
  </si>
  <si>
    <t xml:space="preserve">Requirements</t>
  </si>
  <si>
    <t xml:space="preserve">Notification Templates Not Finalized Before UAT</t>
  </si>
  <si>
    <t xml:space="preserve">All 14 notification event templates (NE-01 through NE-14) require business team sign-off before they can be configured in the system. Delayed template delivery blocks NE testing in UAT and could push the go-live date.</t>
  </si>
  <si>
    <t xml:space="preserve">SRS §12, §3.4 Assumptions</t>
  </si>
  <si>
    <t xml:space="preserve">Raise a pre-UAT milestone deliverable: business team must provide all 14 notification templates (subject lines, body fields, recipient lists) at least 4 weeks before UAT start. The BA tracks this as a dependency in the project plan. Use placeholder templates during SIT that are replaced before UAT.</t>
  </si>
  <si>
    <t xml:space="preserve">If templates are not delivered on time: the BA escalates to the PMO and project sponsor. UAT start date is deferred by the number of working days the templates are late. The UAT scope is adjusted to exclude notification testing until templates are confirmed, with a separate sign-off session scheduled.</t>
  </si>
  <si>
    <t xml:space="preserve">2025-09-15</t>
  </si>
  <si>
    <t xml:space="preserve">R-020</t>
  </si>
  <si>
    <t xml:space="preserve">Tax Rate and Calculation Logic Changes Post-Development</t>
  </si>
  <si>
    <t xml:space="preserve">SRS Section 3.4 assumes rental and tax calculation procedures are implemented as-is from the current policy document. Any regulatory change to tax rates or calculation methodology after development begins requires a change request and rework of core payment logic.</t>
  </si>
  <si>
    <t xml:space="preserve">SRS §3.4 Assumptions, §6.5</t>
  </si>
  <si>
    <t xml:space="preserve">Implement tax_rate as a configurable system parameter loaded per agreement rather than a hardcoded constant. Store the effective tax rate against each agreement at the time of creation. Any change to the default tax rate applies only to new agreements. Document the tax configuration process in the System Admin guide.</t>
  </si>
  <si>
    <t xml:space="preserve">If a regulatory tax change occurs during the project: the BA raises a formal Change Request through IT-PMO. Impact assessment is conducted within 5 working days. The development team implements the change in a separate sprint. Finance is notified of the effective date for the new rate.</t>
  </si>
  <si>
    <t xml:space="preserve">R-021</t>
  </si>
  <si>
    <t xml:space="preserve">Ledger Account Codes Not Confirmed for Accrual Entries</t>
  </si>
  <si>
    <t xml:space="preserve">SRS Section 8.3 notes that ledger account codes (e.g., 7100-RENT) used in the Oracle Financial expense accrual payload are to be confirmed with the Finance team and documented in IDD-001. Incorrect ledger codes cause Oracle Financial to reject accrual entries, breaking the monthly ledger recording process.</t>
  </si>
  <si>
    <t xml:space="preserve">SRS §8.3 POST [OF]/expense-accruals, IDD-001 §3.3</t>
  </si>
  <si>
    <t xml:space="preserve">Schedule a Finance team workshop before the integration development sprint to confirm all ledger account codes, cost centre codes, and entry types. Document the confirmed codes in IDD-001 Section 3.3 and treat them as frozen until Finance submits a change request. Build a configuration table in i-Property so codes can be updated by System Admin without a code deployment.</t>
  </si>
  <si>
    <t xml:space="preserve">If incorrect codes are submitted to Oracle Financial: Oracle Financial rejects the entries with a 400 response. i-Property logs the error and alerts System Admin and Finance per the error handling spec. Finance provides the correct codes. The corrected entries are resubmitted in the next batch cycle.</t>
  </si>
  <si>
    <t xml:space="preserve">R-022</t>
  </si>
  <si>
    <t xml:space="preserve">Project Delivery</t>
  </si>
  <si>
    <t xml:space="preserve">Key Technical Resources Unavailable During Critical Phases</t>
  </si>
  <si>
    <t xml:space="preserve">The SRS requires specialist skills across integration architecture (IDD-001), database design (SDD-001), QA test automation (TP-001), and UI/UX (UI-001). Loss of any key technical resource during the development or UAT phase could delay delivery.</t>
  </si>
  <si>
    <t xml:space="preserve">SRS §1 Document Register</t>
  </si>
  <si>
    <t xml:space="preserve">Ensure all technical design documents (SAD-001, SDD-001, IDD-001) are completed and peer-reviewed before their respective development phases begin. Maintain technical documentation current so a replacement resource can onboard quickly. Cross-train team members on critical components. Flag resource risks to the PMO at least 4 weeks before a critical phase.</t>
  </si>
  <si>
    <t xml:space="preserve">If a resource is lost: the PMO activates the resource replacement procedure. The BA uses the existing technical documents to brief the replacement. The project timeline is reassessed and the sponsor is informed of any impact. Critical path activities are prioritized.</t>
  </si>
  <si>
    <t xml:space="preserve">Project Manager</t>
  </si>
  <si>
    <t xml:space="preserve">2025-10-01</t>
  </si>
  <si>
    <t xml:space="preserve">R-023</t>
  </si>
  <si>
    <t xml:space="preserve">UAT Stakeholder Availability and Sign-Off Delays</t>
  </si>
  <si>
    <t xml:space="preserve">The BRD and SRS both require stakeholder sign-off from 7 parties including Finance, Admin, IT, Audit, and Legal. Delayed availability of key stakeholders for UAT participation or document sign-off directly delays the go-live date.</t>
  </si>
  <si>
    <t xml:space="preserve">SRS §14, BRD §16</t>
  </si>
  <si>
    <t xml:space="preserve">Define a UAT participation schedule and obtain stakeholder commitments at project kick-off. Include UAT participation as a deliverable in each stakeholder's engagement plan. Set a sign-off deadline in the project plan. Provide a staged sign-off approach: functional areas sign off on their modules independently before the final consolidated sign-off.</t>
  </si>
  <si>
    <t xml:space="preserve">If stakeholder sign-off is delayed by more than 5 working days: the BA escalates to the PMO and project sponsor. A formal sign-off deadline is communicated in writing. If a stakeholder is unavailable, their designated deputy is authorized to sign on their behalf per the escalation matrix defined at project kick-off.</t>
  </si>
  <si>
    <t xml:space="preserve">2025-10-15</t>
  </si>
  <si>
    <t xml:space="preserve">R-024</t>
  </si>
  <si>
    <t xml:space="preserve">Companion Documents Not Delivered in Time</t>
  </si>
  <si>
    <t xml:space="preserve">The SRS references 7 companion documents (SAD-001, SDD-001, UI-001, IDD-001, TP-001, DP-001, TRM-001) all marked as Pending. Development cannot begin on dependent components until these documents are available and approved.</t>
  </si>
  <si>
    <t xml:space="preserve">Establish a document delivery schedule at project kick-off with owners and deadlines for each companion document. Track delivery status in the project plan. Flag any overdue document as a project risk. Prioritize IDD-001 and SAD-001 as they are on the critical path for development.</t>
  </si>
  <si>
    <t xml:space="preserve">If a companion document is delayed beyond its scheduled date: the PM escalates to the document owner's line manager. Development work dependent on the document is deprioritized. The BA assesses whether parallel work can continue using interim draft versions under a formal waiver.</t>
  </si>
  <si>
    <t xml:space="preserve">R-025</t>
  </si>
  <si>
    <t xml:space="preserve">Internet Explorer 11 Compatibility Failures</t>
  </si>
  <si>
    <t xml:space="preserve">NFR-07 requires IE11 support (degraded but functional). IE11 lacks support for many modern JavaScript features (Promises, Fetch API, CSS variables). React SPAs typically require polyfills for IE11 and even then may exhibit visual or functional regressions.</t>
  </si>
  <si>
    <t xml:space="preserve">SRS §11 NFR-07</t>
  </si>
  <si>
    <t xml:space="preserve">Define the IE11 support baseline at project start: agree with stakeholders on which features are acceptable in degraded mode. Include the IE11 smoke test (submit request, approve, export report) in the browser compatibility matrix. Build and test with IE11 polyfills early in development, not at the end. Escalate to the project sponsor if IE11 support requires significant rework.</t>
  </si>
  <si>
    <t xml:space="preserve">If IE11 failures are detected in testing: the BA and PM assess whether IE11 usage in the organization justifies the rework cost. If the business confirms IE11 is not actively used, obtain written sign-off to de-scope IE11 support. If IE11 is required, schedule a targeted IE11 fix sprint.</t>
  </si>
  <si>
    <t xml:space="preserve">R-026</t>
  </si>
  <si>
    <t xml:space="preserve">System</t>
  </si>
  <si>
    <t xml:space="preserve">Internal Infrastructure Hosting Instability</t>
  </si>
  <si>
    <t xml:space="preserve">i-Property is deployed on the organization's internal infrastructure (SRS Section 4.1). Unlike cloud-hosted environments, on-premises servers carry the risk of unplanned hardware failures, power outages, or network disruptions not covered by managed SLAs. A production outage during month-end payment processing would have high business impact.</t>
  </si>
  <si>
    <t xml:space="preserve">SRS §4.1, §11 NFR-02, DP-001</t>
  </si>
  <si>
    <t xml:space="preserve">Define and document the production hosting environment in DP-001 before go-live. Ensure the server has a redundant power supply connected to a UPS. Configure automated health monitoring via Nagios or Zabbix per NFR-02. Enforce the planned maintenance window (Sundays 02:00 to 06:00 PST) to avoid conflicts with business operations. Confirm RTO of 1 business day and RPO of 24 hours are achievable with the existing infrastructure.</t>
  </si>
  <si>
    <t xml:space="preserve">If an unplanned outage occurs: System Admin activates the recovery procedure in DP-001. IT Head is notified immediately. Finance and Admin are informed of the outage and estimated restoration time. If the outage occurs during month-end processing, Finance continues manually using the last exported payment report until the system is restored.</t>
  </si>
  <si>
    <t xml:space="preserve">R-027</t>
  </si>
  <si>
    <t xml:space="preserve">Database Server Disk Space Exhaustion</t>
  </si>
  <si>
    <t xml:space="preserve">The audit_log table is append-only and grows continuously with every operation across all core tables (SRS Section 5.3). Combined with accumulating agreement documents, utility bills, and monthly payment summaries over time, the database server disk could reach capacity, causing application writes to fail and potentially corrupting in-flight transactions.</t>
  </si>
  <si>
    <t xml:space="preserve">SRS §5.3, §11 NFR-06, NFR-10</t>
  </si>
  <si>
    <t xml:space="preserve">Establish a disk capacity baseline during deployment planning in DP-001. Configure automated disk usage alerts at 70% and 85% thresholds. Implement the data archiving policy: audit logs archived to cold storage after 3 years, agreement records after 7 years. Schedule quarterly capacity reviews as part of the IT operations calendar. Estimate data growth projections based on the number of active agreements and monthly transaction volumes before go-live.</t>
  </si>
  <si>
    <t xml:space="preserve">If disk usage exceeds 85%: System Admin immediately archives older audit_log records to cold storage and purges orphaned temporary files. If usage exceeds 95%: the application is placed in read-only mode for non-critical functions. IT Infrastructure procures additional disk capacity within 48 hours. PM is informed of the incident and impact.</t>
  </si>
  <si>
    <t xml:space="preserve">R-028</t>
  </si>
  <si>
    <t xml:space="preserve">LDAP / SSO Directory Service Unavailability</t>
  </si>
  <si>
    <t xml:space="preserve">Authentication depends entirely on the organization SSO or LDAP directory service via OAuth 2.0 or SAML 2.0 (SRS Section 5.2). If the directory service is unavailable, no user can log in to i-Property regardless of role. This includes System Admin, meaning administrative recovery actions become blocked.</t>
  </si>
  <si>
    <t xml:space="preserve">Confirm the SSO and LDAP infrastructure redundancy and SLA with the IT directory services team before go-live. Document the directory service dependency in DP-001. Implement a break-glass local administrator account for the System Admin role that bypasses SSO and uses a locally stored credential, to be used only during directory service outages. Store break-glass credentials in a secure physical location accessible to IT Head only.</t>
  </si>
  <si>
    <t xml:space="preserve">If SSO is unavailable: System Admin activates the break-glass local account to perform urgent system actions. All other users are informed that the system is temporarily inaccessible with an estimated resolution time. Directory services are escalated to Priority 1. Once SSO is restored, the break-glass session is terminated and the access event is logged in the audit trail.</t>
  </si>
  <si>
    <t xml:space="preserve">R-029</t>
  </si>
  <si>
    <t xml:space="preserve">Document Storage Repository Unavailability or Data Loss</t>
  </si>
  <si>
    <t xml:space="preserve">i-Property stores all uploaded documents including agreements, utility bills, vacated notices, and approval summary PDFs in a network file share or S3-compatible object store (SRS Section 5.1). The application stores only the file path in the database. If the document store is unavailable or files are lost, the Print Queue and all document viewer features fail, and legal agreement documents may be irrecoverable.</t>
  </si>
  <si>
    <t xml:space="preserve">SRS §5.1 Document Store, §6.3, §9 SCR-11</t>
  </si>
  <si>
    <t xml:space="preserve">Define document storage infrastructure and backup strategy in DP-001 before go-live. Implement daily backups of the document store to a separate physical or logical location. Configure file integrity checks and storage health monitoring. Maintain database path references separately from the document store. Confirm the document store vendor SLA if using an S3-compatible service.</t>
  </si>
  <si>
    <t xml:space="preserve">If the document store is unavailable: users see a document unavailable message rather than a system error. System Admin escalates storage recovery as Priority 1. IT Infrastructure restores the store from the most recent backup. If documents are permanently lost, IT Head, Head of Legal, and Head of Internal Audit are notified immediately. Physical copies held at Head Office serve as the source of truth for critical agreements.</t>
  </si>
  <si>
    <t xml:space="preserve">R-030</t>
  </si>
  <si>
    <t xml:space="preserve">Notification Queue (Redis) Failure Causing Silent Workflow Stall</t>
  </si>
  <si>
    <t xml:space="preserve">The notification engine uses an asynchronous Redis-backed job queue (SRS Section 5.1). If Redis fails, all 14 notification events stop processing without immediately surfacing an error to end users. Approval workflows stall silently because ABH and Director do not receive action-required emails, and no in-app indicator alerts them to pending items.</t>
  </si>
  <si>
    <t xml:space="preserve">SRS §5.1 Notification tier, §12</t>
  </si>
  <si>
    <t xml:space="preserve">Configure Redis cluster with at least one replica for high availability. Implement a dead-letter queue for failed jobs. Set up monitoring alerts on queue depth: if the queue grows beyond a defined threshold without processing, System Admin is alerted within 5 minutes. Implement an in-app notification panel on SCR-02 as a redundant delivery channel independent of the email queue.</t>
  </si>
  <si>
    <t xml:space="preserve">If Redis fails: System Admin is alerted via the monitoring system. In-app dashboard action counts serve as the primary workflow driver during the outage. IT Infrastructure restores Redis from its replica or restarts the service. Once restored, all queued notifications are replayed. System Admin manually triggers any time-critical notifications (particularly NE-10 stop-payment) by direct email if the queue delay exceeds 30 minutes.</t>
  </si>
  <si>
    <t xml:space="preserve">R-031</t>
  </si>
  <si>
    <t xml:space="preserve">Cold Storage Archive Inaccessibility for Audit Evidence</t>
  </si>
  <si>
    <t xml:space="preserve">SRS Section 5.3 specifies that audit logs are retained for 3 years in active storage and archived to cold storage thereafter for a 7-year total retention. If cold storage is not configured before go-live, there is no archiving path. In the event of a legal dispute or regulatory audit occurring years after go-live, required historical records may be inaccessible or non-existent.</t>
  </si>
  <si>
    <t xml:space="preserve">SRS §5.3, §11 NFR-06, §12.2 Data Retention</t>
  </si>
  <si>
    <t xml:space="preserve">Define the cold storage solution and archiving process in DP-001 before go-live. Implement an automated archiving job that runs quarterly and moves audit_log records older than 3 years to cold storage while maintaining a path reference in the active database. Conduct quarterly restore drills including a cold storage retrieval test. Document the cold storage access procedure so it is accessible to System Admin and Internal Audit.</t>
  </si>
  <si>
    <t xml:space="preserve">If cold storage is inaccessible during a regulatory inquiry or legal dispute: IT Head and Head of Legal are notified immediately. IT Infrastructure attempts to restore access within 24 hours. If records are irrecoverable, Head of Legal assesses regulatory exposure and engages external legal counsel. The incident is documented and the archiving process is remediated.</t>
  </si>
  <si>
    <t xml:space="preserve">R-032</t>
  </si>
  <si>
    <t xml:space="preserve">Regulatory</t>
  </si>
  <si>
    <t xml:space="preserve">Sales Tax Rate Change by Regulatory Authority</t>
  </si>
  <si>
    <t xml:space="preserve">i-Property calculates tax deductions on rental payments using tax_rate values stored per agreement (SRS Section 6.5). If a state or federal authority revises the applicable sales tax rate after go-live, existing agreements carrying the old rate will generate incorrect tax deductions in Oracle Financial accrual entries, creating a financial compliance risk.</t>
  </si>
  <si>
    <t xml:space="preserve">SRS §6.5 FR-NR-06, §8.3, SRS §3.4 Assumptions</t>
  </si>
  <si>
    <t xml:space="preserve">Implement tax_rate as a per-agreement configurable field rather than a system-wide constant, so each agreement retains its effective rate at the time of signing. Build a System Admin screen to update the default tax rate applied to new agreements only. When a regulatory change is announced, raise a formal Change Request through IT-PMO to update the default rate and identify which existing agreements require amendment. Coordinate with Finance to determine the effective date of the new rate.</t>
  </si>
  <si>
    <t xml:space="preserve">On notification of a regulatory tax rate change: the BA raises an immediate Change Request. Finance provides the new rate and effective date. System Admin updates the default rate for new agreements. The development team prepares a bulk update script for impacted existing agreements pending Finance sign-off. All updated calculations are reconciled against Oracle Financial before the next payment run.</t>
  </si>
  <si>
    <t xml:space="preserve">Ongoing</t>
  </si>
  <si>
    <t xml:space="preserve">R-033</t>
  </si>
  <si>
    <t xml:space="preserve">Data Retention and Privacy Regulation Non-Compliance</t>
  </si>
  <si>
    <t xml:space="preserve">i-Property stores personally identifiable information (PII) for landlords including full name, contact number, email address, mailing address, bank account number, IBAN, and state ID number (SRS Section 10.3). Applicable data protection regulations such as state privacy laws or sector-specific financial data rules may impose requirements on retention limits, subject access rights, and breach notification timelines that are not currently specified in the SRS.</t>
  </si>
  <si>
    <t xml:space="preserve">SRS §10.3 Landlord Profile, §11 NFR-05, §12.2 Data Retention</t>
  </si>
  <si>
    <t xml:space="preserve">Engage the Head of Legal to confirm which data protection regulations apply to the organization's landlord data handling before development begins. Document PII fields in the data model with their legal basis for storage and applicable retention period. Implement a data subject access request procedure and a data deletion mechanism for inactive landlord records. Confirm that the 7-year financial record retention requirement is legally reconciled with any shorter privacy retention obligation.</t>
  </si>
  <si>
    <t xml:space="preserve">If a regulator issues an inquiry or a landlord submits a data access or erasure request: Head of Legal leads the response. The BA and System Admin provide a data extract or deletion as instructed by Legal within the regulatory response deadline. If a data breach occurs, Head of Legal assesses notification obligations and engages the relevant regulatory authority within the required timeframe. All actions are documented in the incident log.</t>
  </si>
  <si>
    <t xml:space="preserve">Head of Legal</t>
  </si>
  <si>
    <t xml:space="preserve">R-034</t>
  </si>
  <si>
    <t xml:space="preserve">Anti-Money Laundering (AML) Controls Not Embedded in Payment Workflow</t>
  </si>
  <si>
    <t xml:space="preserve">The system processes rental payments and transmits bank account details to Oracle Financial on behalf of landlords (SRS Section 8.3). Depending on the organization's regulatory classification, applicable AML regulations may require screening of landlord bank accounts and transactions against sanctions lists before funds are released. This requirement is not referenced in the SRS and is assumed to be handled outside i-Property, but an absence of clarity creates compliance risk.</t>
  </si>
  <si>
    <t xml:space="preserve">SRS §8.3 POST [OF]/payment-requests, §10.3 bank_account_no</t>
  </si>
  <si>
    <t xml:space="preserve">Raise a compliance scoping question to Head of Legal and Head of Internal Audit at project kick-off to confirm whether AML screening is required within the i-Property payment workflow or is handled entirely by Oracle Financial. If i-Property is required to trigger AML checks, raise a Change Request and design an integration with the organization's sanctions screening tool. Document the outcome of this review in the project decision log regardless of the finding.</t>
  </si>
  <si>
    <t xml:space="preserve">If AML screening is found to be required but not implemented: halt new agreement completions and payment batch transmissions that have not been screened. Head of Legal and Head of Internal Audit lead the remediation. The development team implements the screening integration under emergency change procedures. Finance manually verifies landlord details against the sanctions list as an interim control until the system solution is deployed.</t>
  </si>
  <si>
    <t xml:space="preserve">R-035</t>
  </si>
  <si>
    <t xml:space="preserve">Advance Tax Withholding Reporting Obligations</t>
  </si>
  <si>
    <t xml:space="preserve">i-Property captures advance tax on utility bills (SRS Section 10.2) and calculates tax deductions on monthly rental payments (SRS Section 6.5). Depending on applicable tax law, the organization may be required to submit periodic advance tax withholding returns to the tax authority listing all landlords and amounts withheld. If this reporting obligation is not built into the system, the organization faces penalties for late or inaccurate tax filings.</t>
  </si>
  <si>
    <t xml:space="preserve">SRS §6.5, §10.2 advance_tax, §9.6 FR-RP-02</t>
  </si>
  <si>
    <t xml:space="preserve">Engage Finance and Head of Legal to confirm the organization's advance tax withholding reporting obligations and filing frequency (monthly, quarterly, or annually) before the Reports module is developed. Design the FR-RP-02 expense recording report to include an advance tax withholding summary in a format compatible with regulatory filing requirements. Confirm whether Oracle Financial handles tax filing submissions or whether i-Property must produce a separate regulatory report.</t>
  </si>
  <si>
    <t xml:space="preserve">If a tax reporting obligation is identified post-development: the BA raises a Change Request to add a regulatory tax withholding report to the Reports module (SCR-10). Finance provides the required report format and the applicable tax authority submission template. The development team implements the report in the next release cycle. Finance files the current period return manually using exported data from SCR-10 as an interim measure.</t>
  </si>
  <si>
    <t xml:space="preserve">RISK SUMMARY DASHBOARD  —  I-Property System</t>
  </si>
  <si>
    <t xml:space="preserve">Auto-calculated from Risk Register sheet. Do not edit cells containing formulas.</t>
  </si>
  <si>
    <t xml:space="preserve">Total Risks Identified</t>
  </si>
  <si>
    <t xml:space="preserve">Risks by Category</t>
  </si>
  <si>
    <t xml:space="preserve">Count</t>
  </si>
  <si>
    <t xml:space="preserve">PROBABILITY × IMPACT MATRIX  (count of risks per cell)</t>
  </si>
  <si>
    <t xml:space="preserve">Critical (Score ≥ 16)</t>
  </si>
  <si>
    <t xml:space="preserve">P \ I →</t>
  </si>
  <si>
    <t xml:space="preserve">High (Score 9–15)</t>
  </si>
  <si>
    <t xml:space="preserve">Medium (Score 4–8)</t>
  </si>
  <si>
    <t xml:space="preserve">Low (Score &lt; 4)</t>
  </si>
  <si>
    <t xml:space="preserve">In Progress</t>
  </si>
  <si>
    <t xml:space="preserve">Closed</t>
  </si>
  <si>
    <t xml:space="preserve">Legend:</t>
  </si>
  <si>
    <t xml:space="preserve">Critical  (≥16)</t>
  </si>
  <si>
    <t xml:space="preserve">High  (9–15)</t>
  </si>
  <si>
    <t xml:space="preserve">Medium  (4–8)</t>
  </si>
  <si>
    <t xml:space="preserve">Low  (&lt;4)</t>
  </si>
  <si>
    <t xml:space="preserve">RISK SCORING GUIDE  —  I-Property Project</t>
  </si>
  <si>
    <t xml:space="preserve">Probability and Impact are rated 1 to 5. Risk Score = Probability × Impact.</t>
  </si>
  <si>
    <t xml:space="preserve">PROBABILITY SCALE</t>
  </si>
  <si>
    <t xml:space="preserve">IMPACT SCALE</t>
  </si>
  <si>
    <t xml:space="preserve">Score</t>
  </si>
  <si>
    <t xml:space="preserve">Likelihood</t>
  </si>
  <si>
    <t xml:space="preserve">Impact Level</t>
  </si>
  <si>
    <t xml:space="preserve">5</t>
  </si>
  <si>
    <t xml:space="preserve">Almost Certain</t>
  </si>
  <si>
    <t xml:space="preserve">Expected to occur in most circumstances (&gt;80% probability)</t>
  </si>
  <si>
    <t xml:space="preserve">Critical</t>
  </si>
  <si>
    <t xml:space="preserve">System-wide failure, major financial loss, regulatory breach, or reputational damage</t>
  </si>
  <si>
    <t xml:space="preserve">4</t>
  </si>
  <si>
    <t xml:space="preserve">Likely</t>
  </si>
  <si>
    <t xml:space="preserve">Will probably occur in most circumstances (60–80%)</t>
  </si>
  <si>
    <t xml:space="preserve">Major</t>
  </si>
  <si>
    <t xml:space="preserve">Significant disruption to core workflows, payment processing blocked, or data breach</t>
  </si>
  <si>
    <t xml:space="preserve">3</t>
  </si>
  <si>
    <t xml:space="preserve">Possible</t>
  </si>
  <si>
    <t xml:space="preserve">Might occur at some point (40–60%)</t>
  </si>
  <si>
    <t xml:space="preserve">Moderate</t>
  </si>
  <si>
    <t xml:space="preserve">Noticeable delay to go-live or operations, workaround required, moderate effort to fix</t>
  </si>
  <si>
    <t xml:space="preserve">2</t>
  </si>
  <si>
    <t xml:space="preserve">Unlikely</t>
  </si>
  <si>
    <t xml:space="preserve">Could occur in some circumstances (20–40%)</t>
  </si>
  <si>
    <t xml:space="preserve">Minor</t>
  </si>
  <si>
    <t xml:space="preserve">Small disruption, easily resolved, minimal impact on timeline or stakeholders</t>
  </si>
  <si>
    <t xml:space="preserve">1</t>
  </si>
  <si>
    <t xml:space="preserve">Rare</t>
  </si>
  <si>
    <t xml:space="preserve">May only occur in exceptional circumstances (&lt;20%)</t>
  </si>
  <si>
    <t xml:space="preserve">Negligible</t>
  </si>
  <si>
    <t xml:space="preserve">Trivial impact, can be managed within normal operations with no schedule impact</t>
  </si>
  <si>
    <t xml:space="preserve">SEVERITY CLASSIFICATION</t>
  </si>
  <si>
    <t xml:space="preserve">Score Range</t>
  </si>
  <si>
    <t xml:space="preserve">Response Required</t>
  </si>
  <si>
    <t xml:space="preserve">Review Frequency</t>
  </si>
  <si>
    <t xml:space="preserve">16–25</t>
  </si>
  <si>
    <t xml:space="preserve">Immediate escalation to Project Manager and Sponsor. Mitigation must be actioned within 24 hours.</t>
  </si>
  <si>
    <t xml:space="preserve">Daily until resolved</t>
  </si>
  <si>
    <t xml:space="preserve">9–15</t>
  </si>
  <si>
    <t xml:space="preserve">High</t>
  </si>
  <si>
    <t xml:space="preserve">Project Manager must review within 48 hours. Mitigation plan must be defined and assigned.</t>
  </si>
  <si>
    <t xml:space="preserve">Weekly</t>
  </si>
  <si>
    <t xml:space="preserve">4–8</t>
  </si>
  <si>
    <t xml:space="preserve">Medium</t>
  </si>
  <si>
    <t xml:space="preserve">BA tracks in weekly status report. Risk Owner monitors and updates status.</t>
  </si>
  <si>
    <t xml:space="preserve">Fortnightly</t>
  </si>
  <si>
    <t xml:space="preserve">1–3</t>
  </si>
  <si>
    <t xml:space="preserve">Low</t>
  </si>
  <si>
    <t xml:space="preserve">Accepted risk. Monitor passively. Review at monthly risk review meeting.</t>
  </si>
  <si>
    <t xml:space="preserve">Monthly</t>
  </si>
</sst>
</file>

<file path=xl/styles.xml><?xml version="1.0" encoding="utf-8"?>
<styleSheet xmlns="http://schemas.openxmlformats.org/spreadsheetml/2006/main">
  <numFmts count="2">
    <numFmt numFmtId="164" formatCode="General"/>
    <numFmt numFmtId="165" formatCode="General"/>
  </numFmts>
  <fonts count="39">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AAAAAA"/>
      <name val="Arial"/>
      <family val="0"/>
      <charset val="1"/>
    </font>
    <font>
      <b val="true"/>
      <sz val="9"/>
      <color rgb="FFFFFFFF"/>
      <name val="Arial"/>
      <family val="0"/>
      <charset val="1"/>
    </font>
    <font>
      <b val="true"/>
      <sz val="9"/>
      <color rgb="FF333333"/>
      <name val="Arial"/>
      <family val="0"/>
      <charset val="1"/>
    </font>
    <font>
      <sz val="9"/>
      <color rgb="FF333333"/>
      <name val="Arial"/>
      <family val="0"/>
      <charset val="1"/>
    </font>
    <font>
      <sz val="9"/>
      <color rgb="FF1F2D3D"/>
      <name val="Arial"/>
      <family val="0"/>
      <charset val="1"/>
    </font>
    <font>
      <b val="true"/>
      <sz val="10"/>
      <color rgb="FF1F2D3D"/>
      <name val="Arial"/>
      <family val="0"/>
      <charset val="1"/>
    </font>
    <font>
      <i val="true"/>
      <sz val="9"/>
      <color rgb="FFAAAAAA"/>
      <name val="Arial"/>
      <family val="0"/>
      <charset val="1"/>
    </font>
    <font>
      <b val="true"/>
      <sz val="10"/>
      <color rgb="FFFFFFFF"/>
      <name val="Arial"/>
      <family val="0"/>
      <charset val="1"/>
    </font>
    <font>
      <b val="true"/>
      <sz val="12"/>
      <color rgb="FFFFFFFF"/>
      <name val="Arial"/>
      <family val="0"/>
      <charset val="1"/>
    </font>
    <font>
      <b val="true"/>
      <sz val="10"/>
      <color rgb="FFC0392B"/>
      <name val="Arial"/>
      <family val="0"/>
      <charset val="1"/>
    </font>
    <font>
      <b val="true"/>
      <sz val="12"/>
      <color rgb="FFC0392B"/>
      <name val="Arial"/>
      <family val="0"/>
      <charset val="1"/>
    </font>
    <font>
      <b val="true"/>
      <sz val="10"/>
      <name val="Arial"/>
      <family val="0"/>
      <charset val="1"/>
    </font>
    <font>
      <b val="true"/>
      <sz val="10"/>
      <color rgb="FFE67E22"/>
      <name val="Arial"/>
      <family val="0"/>
      <charset val="1"/>
    </font>
    <font>
      <b val="true"/>
      <sz val="12"/>
      <color rgb="FFE67E22"/>
      <name val="Arial"/>
      <family val="0"/>
      <charset val="1"/>
    </font>
    <font>
      <b val="true"/>
      <sz val="11"/>
      <name val="Arial"/>
      <family val="0"/>
      <charset val="1"/>
    </font>
    <font>
      <b val="true"/>
      <sz val="10"/>
      <color rgb="FF7D6608"/>
      <name val="Arial"/>
      <family val="0"/>
      <charset val="1"/>
    </font>
    <font>
      <b val="true"/>
      <sz val="12"/>
      <color rgb="FF7D6608"/>
      <name val="Arial"/>
      <family val="0"/>
      <charset val="1"/>
    </font>
    <font>
      <b val="true"/>
      <sz val="10"/>
      <color rgb="FF27AE60"/>
      <name val="Arial"/>
      <family val="0"/>
      <charset val="1"/>
    </font>
    <font>
      <b val="true"/>
      <sz val="12"/>
      <color rgb="FF27AE60"/>
      <name val="Arial"/>
      <family val="0"/>
      <charset val="1"/>
    </font>
    <font>
      <b val="true"/>
      <sz val="10"/>
      <color rgb="FF856404"/>
      <name val="Arial"/>
      <family val="0"/>
      <charset val="1"/>
    </font>
    <font>
      <b val="true"/>
      <sz val="12"/>
      <color rgb="FF856404"/>
      <name val="Arial"/>
      <family val="0"/>
      <charset val="1"/>
    </font>
    <font>
      <b val="true"/>
      <sz val="10"/>
      <color rgb="FF2E4A6B"/>
      <name val="Arial"/>
      <family val="0"/>
      <charset val="1"/>
    </font>
    <font>
      <b val="true"/>
      <sz val="12"/>
      <color rgb="FF2E4A6B"/>
      <name val="Arial"/>
      <family val="0"/>
      <charset val="1"/>
    </font>
    <font>
      <b val="true"/>
      <sz val="9"/>
      <name val="Arial"/>
      <family val="0"/>
      <charset val="1"/>
    </font>
    <font>
      <b val="true"/>
      <sz val="13"/>
      <color rgb="FFFFFFFF"/>
      <name val="Arial"/>
      <family val="0"/>
      <charset val="1"/>
    </font>
    <font>
      <b val="true"/>
      <sz val="11"/>
      <color rgb="FFFFFFFF"/>
      <name val="Arial"/>
      <family val="0"/>
      <charset val="1"/>
    </font>
    <font>
      <sz val="10"/>
      <color rgb="FFFFFFFF"/>
      <name val="Arial"/>
      <family val="0"/>
      <charset val="1"/>
    </font>
    <font>
      <sz val="10"/>
      <color rgb="FF333333"/>
      <name val="Arial"/>
      <family val="0"/>
      <charset val="1"/>
    </font>
    <font>
      <b val="true"/>
      <sz val="10"/>
      <color rgb="FF333333"/>
      <name val="Arial"/>
      <family val="0"/>
      <charset val="1"/>
    </font>
    <font>
      <sz val="9"/>
      <color rgb="FFFFFFFF"/>
      <name val="Arial"/>
      <family val="0"/>
      <charset val="1"/>
    </font>
    <font>
      <sz val="10"/>
      <color rgb="FFC0392B"/>
      <name val="Arial"/>
      <family val="0"/>
      <charset val="1"/>
    </font>
    <font>
      <sz val="10"/>
      <color rgb="FFE67E22"/>
      <name val="Arial"/>
      <family val="0"/>
      <charset val="1"/>
    </font>
    <font>
      <sz val="10"/>
      <color rgb="FF7D6608"/>
      <name val="Arial"/>
      <family val="0"/>
      <charset val="1"/>
    </font>
    <font>
      <sz val="10"/>
      <color rgb="FF27AE60"/>
      <name val="Arial"/>
      <family val="0"/>
      <charset val="1"/>
    </font>
  </fonts>
  <fills count="19">
    <fill>
      <patternFill patternType="none"/>
    </fill>
    <fill>
      <patternFill patternType="gray125"/>
    </fill>
    <fill>
      <patternFill patternType="solid">
        <fgColor rgb="FF1F2D3D"/>
        <bgColor rgb="FF333333"/>
      </patternFill>
    </fill>
    <fill>
      <patternFill patternType="solid">
        <fgColor rgb="FF2E4A6B"/>
        <bgColor rgb="FF3B5998"/>
      </patternFill>
    </fill>
    <fill>
      <patternFill patternType="solid">
        <fgColor rgb="FFFFFFFF"/>
        <bgColor rgb="FFF5F6F7"/>
      </patternFill>
    </fill>
    <fill>
      <patternFill patternType="solid">
        <fgColor rgb="FFF5F6F7"/>
        <bgColor rgb="FFFFFFFF"/>
      </patternFill>
    </fill>
    <fill>
      <patternFill patternType="solid">
        <fgColor rgb="FFE2E3EA"/>
        <bgColor rgb="FFD6EAF8"/>
      </patternFill>
    </fill>
    <fill>
      <patternFill patternType="solid">
        <fgColor rgb="FFFADBD8"/>
        <bgColor rgb="FFFDEBD0"/>
      </patternFill>
    </fill>
    <fill>
      <patternFill patternType="solid">
        <fgColor rgb="FFFDEBD0"/>
        <bgColor rgb="FFFFF3CD"/>
      </patternFill>
    </fill>
    <fill>
      <patternFill patternType="solid">
        <fgColor rgb="FFFFF9C4"/>
        <bgColor rgb="FFFFF3CD"/>
      </patternFill>
    </fill>
    <fill>
      <patternFill patternType="solid">
        <fgColor rgb="FFD5F5E3"/>
        <bgColor rgb="FFD6EAF8"/>
      </patternFill>
    </fill>
    <fill>
      <patternFill patternType="solid">
        <fgColor rgb="FFFFF3CD"/>
        <bgColor rgb="FFFFF9C4"/>
      </patternFill>
    </fill>
    <fill>
      <patternFill patternType="solid">
        <fgColor rgb="FFD6EAF8"/>
        <bgColor rgb="FFE2E3EA"/>
      </patternFill>
    </fill>
    <fill>
      <patternFill patternType="solid">
        <fgColor rgb="FFF1948A"/>
        <bgColor rgb="FFE67E22"/>
      </patternFill>
    </fill>
    <fill>
      <patternFill patternType="solid">
        <fgColor rgb="FFC0392B"/>
        <bgColor rgb="FFE74C3C"/>
      </patternFill>
    </fill>
    <fill>
      <patternFill patternType="solid">
        <fgColor rgb="FFE67E22"/>
        <bgColor rgb="FFFF9900"/>
      </patternFill>
    </fill>
    <fill>
      <patternFill patternType="solid">
        <fgColor rgb="FFE74C3C"/>
        <bgColor rgb="FFC0392B"/>
      </patternFill>
    </fill>
    <fill>
      <patternFill patternType="solid">
        <fgColor rgb="FFF9E79F"/>
        <bgColor rgb="FFFDEBD0"/>
      </patternFill>
    </fill>
    <fill>
      <patternFill patternType="solid">
        <fgColor rgb="FFA9DFBF"/>
        <bgColor rgb="FFCCCCCC"/>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5" fontId="10" fillId="4"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5" fontId="10" fillId="5" borderId="1" xfId="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11" fillId="2" borderId="0" xfId="0" applyFont="true" applyBorder="true" applyAlignment="true" applyProtection="false">
      <alignment horizontal="left" vertical="center" textRotation="0" wrapText="false" indent="0" shrinkToFit="false"/>
      <protection locked="true" hidden="false"/>
    </xf>
    <xf numFmtId="164" fontId="12" fillId="2" borderId="1" xfId="0" applyFont="true" applyBorder="true" applyAlignment="true" applyProtection="false">
      <alignment horizontal="left" vertical="center" textRotation="0" wrapText="false" indent="0" shrinkToFit="false"/>
      <protection locked="true" hidden="false"/>
    </xf>
    <xf numFmtId="165" fontId="13" fillId="6" borderId="1" xfId="0" applyFont="true" applyBorder="true" applyAlignment="true" applyProtection="false">
      <alignment horizontal="center" vertical="center" textRotation="0" wrapText="false" indent="0" shrinkToFit="false"/>
      <protection locked="true" hidden="false"/>
    </xf>
    <xf numFmtId="164" fontId="12" fillId="2" borderId="1" xfId="0" applyFont="true" applyBorder="true" applyAlignment="true" applyProtection="false">
      <alignment horizontal="center" vertical="center" textRotation="0" wrapText="false" indent="0" shrinkToFit="false"/>
      <protection locked="true" hidden="false"/>
    </xf>
    <xf numFmtId="164" fontId="12" fillId="2" borderId="2" xfId="0" applyFont="true" applyBorder="true" applyAlignment="true" applyProtection="false">
      <alignment horizontal="center" vertical="center" textRotation="0" wrapText="false" indent="0" shrinkToFit="false"/>
      <protection locked="true" hidden="false"/>
    </xf>
    <xf numFmtId="164" fontId="14" fillId="7" borderId="1" xfId="0" applyFont="true" applyBorder="true" applyAlignment="true" applyProtection="false">
      <alignment horizontal="left" vertical="center" textRotation="0" wrapText="false" indent="0" shrinkToFit="false"/>
      <protection locked="true" hidden="false"/>
    </xf>
    <xf numFmtId="165" fontId="15" fillId="7"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5" fontId="16" fillId="4"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false" indent="0" shrinkToFit="false"/>
      <protection locked="true" hidden="false"/>
    </xf>
    <xf numFmtId="164" fontId="17" fillId="8" borderId="1" xfId="0" applyFont="true" applyBorder="true" applyAlignment="true" applyProtection="false">
      <alignment horizontal="left" vertical="center" textRotation="0" wrapText="false" indent="0" shrinkToFit="false"/>
      <protection locked="true" hidden="false"/>
    </xf>
    <xf numFmtId="165" fontId="18" fillId="8"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5" fontId="16" fillId="5" borderId="1" xfId="0" applyFont="true" applyBorder="true" applyAlignment="true" applyProtection="false">
      <alignment horizontal="center" vertical="center" textRotation="0" wrapText="false" indent="0" shrinkToFit="false"/>
      <protection locked="true" hidden="false"/>
    </xf>
    <xf numFmtId="165" fontId="19" fillId="9" borderId="1" xfId="0" applyFont="true" applyBorder="true" applyAlignment="true" applyProtection="false">
      <alignment horizontal="center" vertical="center" textRotation="0" wrapText="false" indent="0" shrinkToFit="false"/>
      <protection locked="true" hidden="false"/>
    </xf>
    <xf numFmtId="165" fontId="19" fillId="8" borderId="1" xfId="0" applyFont="true" applyBorder="true" applyAlignment="true" applyProtection="false">
      <alignment horizontal="center" vertical="center" textRotation="0" wrapText="false" indent="0" shrinkToFit="false"/>
      <protection locked="true" hidden="false"/>
    </xf>
    <xf numFmtId="165" fontId="19" fillId="7" borderId="1" xfId="0" applyFont="true" applyBorder="true" applyAlignment="true" applyProtection="false">
      <alignment horizontal="center" vertical="center" textRotation="0" wrapText="false" indent="0" shrinkToFit="false"/>
      <protection locked="true" hidden="false"/>
    </xf>
    <xf numFmtId="164" fontId="20" fillId="9" borderId="1" xfId="0" applyFont="true" applyBorder="true" applyAlignment="true" applyProtection="false">
      <alignment horizontal="left" vertical="center" textRotation="0" wrapText="false" indent="0" shrinkToFit="false"/>
      <protection locked="true" hidden="false"/>
    </xf>
    <xf numFmtId="165" fontId="21" fillId="9" borderId="1" xfId="0" applyFont="true" applyBorder="true" applyAlignment="true" applyProtection="false">
      <alignment horizontal="center" vertical="center" textRotation="0" wrapText="false" indent="0" shrinkToFit="false"/>
      <protection locked="true" hidden="false"/>
    </xf>
    <xf numFmtId="164" fontId="22" fillId="10" borderId="1" xfId="0" applyFont="true" applyBorder="true" applyAlignment="true" applyProtection="false">
      <alignment horizontal="left" vertical="center" textRotation="0" wrapText="false" indent="0" shrinkToFit="false"/>
      <protection locked="true" hidden="false"/>
    </xf>
    <xf numFmtId="165" fontId="23" fillId="10" borderId="1" xfId="0" applyFont="true" applyBorder="true" applyAlignment="true" applyProtection="false">
      <alignment horizontal="center" vertical="center" textRotation="0" wrapText="false" indent="0" shrinkToFit="false"/>
      <protection locked="true" hidden="false"/>
    </xf>
    <xf numFmtId="165" fontId="19" fillId="10" borderId="1" xfId="0" applyFont="true" applyBorder="true" applyAlignment="true" applyProtection="false">
      <alignment horizontal="center" vertical="center" textRotation="0" wrapText="false" indent="0" shrinkToFit="false"/>
      <protection locked="true" hidden="false"/>
    </xf>
    <xf numFmtId="164" fontId="24" fillId="11" borderId="1" xfId="0" applyFont="true" applyBorder="true" applyAlignment="true" applyProtection="false">
      <alignment horizontal="left" vertical="center" textRotation="0" wrapText="false" indent="0" shrinkToFit="false"/>
      <protection locked="true" hidden="false"/>
    </xf>
    <xf numFmtId="165" fontId="25" fillId="11" borderId="1" xfId="0" applyFont="true" applyBorder="true" applyAlignment="true" applyProtection="false">
      <alignment horizontal="center" vertical="center" textRotation="0" wrapText="false" indent="0" shrinkToFit="false"/>
      <protection locked="true" hidden="false"/>
    </xf>
    <xf numFmtId="164" fontId="26" fillId="12" borderId="1" xfId="0" applyFont="true" applyBorder="true" applyAlignment="true" applyProtection="false">
      <alignment horizontal="left" vertical="center" textRotation="0" wrapText="false" indent="0" shrinkToFit="false"/>
      <protection locked="true" hidden="false"/>
    </xf>
    <xf numFmtId="165" fontId="27" fillId="12" borderId="1" xfId="0" applyFont="true" applyBorder="true" applyAlignment="true" applyProtection="false">
      <alignment horizontal="center" vertical="center" textRotation="0" wrapText="false" indent="0" shrinkToFit="false"/>
      <protection locked="true" hidden="false"/>
    </xf>
    <xf numFmtId="164" fontId="28" fillId="6" borderId="2" xfId="0" applyFont="true" applyBorder="true" applyAlignment="true" applyProtection="false">
      <alignment horizontal="left" vertical="center" textRotation="0" wrapText="false" indent="0" shrinkToFit="false"/>
      <protection locked="true" hidden="false"/>
    </xf>
    <xf numFmtId="164" fontId="28" fillId="7" borderId="1" xfId="0" applyFont="true" applyBorder="true" applyAlignment="true" applyProtection="false">
      <alignment horizontal="center" vertical="center" textRotation="0" wrapText="false" indent="0" shrinkToFit="false"/>
      <protection locked="true" hidden="false"/>
    </xf>
    <xf numFmtId="164" fontId="28" fillId="8" borderId="1" xfId="0" applyFont="true" applyBorder="true" applyAlignment="true" applyProtection="false">
      <alignment horizontal="center" vertical="center" textRotation="0" wrapText="false" indent="0" shrinkToFit="false"/>
      <protection locked="true" hidden="false"/>
    </xf>
    <xf numFmtId="164" fontId="28" fillId="9" borderId="1" xfId="0" applyFont="true" applyBorder="true" applyAlignment="true" applyProtection="false">
      <alignment horizontal="center" vertical="center" textRotation="0" wrapText="false" indent="0" shrinkToFit="false"/>
      <protection locked="true" hidden="false"/>
    </xf>
    <xf numFmtId="164" fontId="28" fillId="10" borderId="1" xfId="0" applyFont="true" applyBorder="true" applyAlignment="true" applyProtection="false">
      <alignment horizontal="center" vertical="center" textRotation="0" wrapText="false" indent="0" shrinkToFit="false"/>
      <protection locked="true" hidden="false"/>
    </xf>
    <xf numFmtId="164" fontId="29" fillId="2" borderId="0" xfId="0" applyFont="true" applyBorder="true" applyAlignment="true" applyProtection="false">
      <alignment horizontal="left" vertical="center" textRotation="0" wrapText="false" indent="0" shrinkToFit="false"/>
      <protection locked="true" hidden="false"/>
    </xf>
    <xf numFmtId="164" fontId="30" fillId="3" borderId="2" xfId="0" applyFont="true" applyBorder="true" applyAlignment="true" applyProtection="false">
      <alignment horizontal="center" vertical="center"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31" fillId="2" borderId="1" xfId="0" applyFont="true" applyBorder="true" applyAlignment="true" applyProtection="false">
      <alignment horizontal="left" vertical="center" textRotation="0" wrapText="true" indent="0" shrinkToFit="false"/>
      <protection locked="true" hidden="false"/>
    </xf>
    <xf numFmtId="164" fontId="12" fillId="13" borderId="1" xfId="0" applyFont="true" applyBorder="true" applyAlignment="true" applyProtection="false">
      <alignment horizontal="center" vertical="center" textRotation="0" wrapText="true" indent="0" shrinkToFit="false"/>
      <protection locked="true" hidden="false"/>
    </xf>
    <xf numFmtId="164" fontId="31" fillId="13" borderId="1" xfId="0" applyFont="true" applyBorder="true" applyAlignment="true" applyProtection="false">
      <alignment horizontal="left" vertical="center" textRotation="0" wrapText="true" indent="0" shrinkToFit="false"/>
      <protection locked="true" hidden="false"/>
    </xf>
    <xf numFmtId="164" fontId="32" fillId="13" borderId="1" xfId="0" applyFont="true" applyBorder="true" applyAlignment="true" applyProtection="false">
      <alignment horizontal="left" vertical="center" textRotation="0" wrapText="true" indent="0" shrinkToFit="false"/>
      <protection locked="true" hidden="false"/>
    </xf>
    <xf numFmtId="164" fontId="12" fillId="14" borderId="1" xfId="0" applyFont="true" applyBorder="true" applyAlignment="true" applyProtection="false">
      <alignment horizontal="center" vertical="center" textRotation="0" wrapText="true" indent="0" shrinkToFit="false"/>
      <protection locked="true" hidden="false"/>
    </xf>
    <xf numFmtId="164" fontId="31" fillId="14" borderId="1" xfId="0" applyFont="true" applyBorder="true" applyAlignment="true" applyProtection="false">
      <alignment horizontal="left" vertical="center" textRotation="0" wrapText="true" indent="0" shrinkToFit="false"/>
      <protection locked="true" hidden="false"/>
    </xf>
    <xf numFmtId="164" fontId="32" fillId="14" borderId="1" xfId="0" applyFont="true" applyBorder="true" applyAlignment="true" applyProtection="false">
      <alignment horizontal="left" vertical="center" textRotation="0" wrapText="true" indent="0" shrinkToFit="false"/>
      <protection locked="true" hidden="false"/>
    </xf>
    <xf numFmtId="164" fontId="33" fillId="15" borderId="1" xfId="0" applyFont="true" applyBorder="true" applyAlignment="true" applyProtection="false">
      <alignment horizontal="center" vertical="center" textRotation="0" wrapText="true" indent="0" shrinkToFit="false"/>
      <protection locked="true" hidden="false"/>
    </xf>
    <xf numFmtId="164" fontId="32" fillId="15" borderId="1" xfId="0" applyFont="true" applyBorder="true" applyAlignment="true" applyProtection="false">
      <alignment horizontal="left" vertical="center" textRotation="0" wrapText="true" indent="0" shrinkToFit="false"/>
      <protection locked="true" hidden="false"/>
    </xf>
    <xf numFmtId="164" fontId="33" fillId="16" borderId="1" xfId="0" applyFont="true" applyBorder="true" applyAlignment="true" applyProtection="false">
      <alignment horizontal="center" vertical="center" textRotation="0" wrapText="true" indent="0" shrinkToFit="false"/>
      <protection locked="true" hidden="false"/>
    </xf>
    <xf numFmtId="164" fontId="32" fillId="16" borderId="1" xfId="0" applyFont="true" applyBorder="true" applyAlignment="true" applyProtection="false">
      <alignment horizontal="left" vertical="center" textRotation="0" wrapText="true" indent="0" shrinkToFit="false"/>
      <protection locked="true" hidden="false"/>
    </xf>
    <xf numFmtId="164" fontId="33" fillId="17" borderId="1" xfId="0" applyFont="true" applyBorder="true" applyAlignment="true" applyProtection="false">
      <alignment horizontal="center" vertical="center" textRotation="0" wrapText="true" indent="0" shrinkToFit="false"/>
      <protection locked="true" hidden="false"/>
    </xf>
    <xf numFmtId="164" fontId="32" fillId="17" borderId="1" xfId="0" applyFont="true" applyBorder="true" applyAlignment="true" applyProtection="false">
      <alignment horizontal="left" vertical="center" textRotation="0" wrapText="true" indent="0" shrinkToFit="false"/>
      <protection locked="true" hidden="false"/>
    </xf>
    <xf numFmtId="164" fontId="33" fillId="18" borderId="1" xfId="0" applyFont="true" applyBorder="true" applyAlignment="true" applyProtection="false">
      <alignment horizontal="center" vertical="center" textRotation="0" wrapText="true" indent="0" shrinkToFit="false"/>
      <protection locked="true" hidden="false"/>
    </xf>
    <xf numFmtId="164" fontId="32" fillId="18" borderId="1" xfId="0" applyFont="true" applyBorder="true" applyAlignment="true" applyProtection="false">
      <alignment horizontal="left" vertical="center" textRotation="0" wrapText="true" indent="0" shrinkToFit="false"/>
      <protection locked="true" hidden="false"/>
    </xf>
    <xf numFmtId="164" fontId="33" fillId="10" borderId="1" xfId="0" applyFont="true" applyBorder="true" applyAlignment="true" applyProtection="false">
      <alignment horizontal="center" vertical="center" textRotation="0" wrapText="true" indent="0" shrinkToFit="false"/>
      <protection locked="true" hidden="false"/>
    </xf>
    <xf numFmtId="164" fontId="32" fillId="10" borderId="1" xfId="0" applyFont="true" applyBorder="true" applyAlignment="true" applyProtection="false">
      <alignment horizontal="left" vertical="center" textRotation="0" wrapText="true" indent="0" shrinkToFit="false"/>
      <protection locked="true" hidden="false"/>
    </xf>
    <xf numFmtId="164" fontId="31" fillId="2" borderId="1" xfId="0" applyFont="true" applyBorder="true" applyAlignment="true" applyProtection="false">
      <alignment horizontal="center" vertical="center" textRotation="0" wrapText="true" indent="0" shrinkToFit="false"/>
      <protection locked="true" hidden="false"/>
    </xf>
    <xf numFmtId="164" fontId="34" fillId="2" borderId="1" xfId="0" applyFont="true" applyBorder="true" applyAlignment="true" applyProtection="false">
      <alignment horizontal="left" vertical="center" textRotation="0" wrapText="true" indent="0" shrinkToFit="false"/>
      <protection locked="true" hidden="false"/>
    </xf>
    <xf numFmtId="164" fontId="34" fillId="2" borderId="1" xfId="0" applyFont="true" applyBorder="true" applyAlignment="true" applyProtection="false">
      <alignment horizontal="center" vertical="center" textRotation="0" wrapText="tru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4" fontId="35" fillId="7"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17" fillId="8" borderId="1" xfId="0" applyFont="true" applyBorder="true" applyAlignment="true" applyProtection="false">
      <alignment horizontal="center" vertical="center" textRotation="0" wrapText="true" indent="0" shrinkToFit="false"/>
      <protection locked="true" hidden="false"/>
    </xf>
    <xf numFmtId="164" fontId="36" fillId="8"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20" fillId="9" borderId="1" xfId="0" applyFont="true" applyBorder="true" applyAlignment="true" applyProtection="false">
      <alignment horizontal="center" vertical="center" textRotation="0" wrapText="true" indent="0" shrinkToFit="false"/>
      <protection locked="true" hidden="false"/>
    </xf>
    <xf numFmtId="164" fontId="37" fillId="9"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left"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22" fillId="10" borderId="1" xfId="0" applyFont="true" applyBorder="true" applyAlignment="true" applyProtection="false">
      <alignment horizontal="center" vertical="center" textRotation="0" wrapText="true" indent="0" shrinkToFit="false"/>
      <protection locked="true" hidden="false"/>
    </xf>
    <xf numFmtId="164" fontId="38" fillId="10" borderId="1" xfId="0" applyFont="true" applyBorder="true" applyAlignment="true" applyProtection="false">
      <alignment horizontal="center" vertical="center" textRotation="0" wrapText="true" indent="0" shrinkToFit="false"/>
      <protection locked="true" hidden="false"/>
    </xf>
    <xf numFmtId="164" fontId="8" fillId="10" borderId="1" xfId="0" applyFont="true" applyBorder="true" applyAlignment="true" applyProtection="false">
      <alignment horizontal="left" vertical="center" textRotation="0" wrapText="true" indent="0" shrinkToFit="false"/>
      <protection locked="true" hidden="false"/>
    </xf>
    <xf numFmtId="164" fontId="8" fillId="1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ont>
        <name val="Arial"/>
        <charset val="1"/>
        <family val="0"/>
        <b val="1"/>
        <color rgb="FFC0392B"/>
      </font>
      <fill>
        <patternFill>
          <bgColor rgb="FFFADBD8"/>
        </patternFill>
      </fill>
    </dxf>
    <dxf>
      <font>
        <name val="Arial"/>
        <charset val="1"/>
        <family val="0"/>
        <b val="1"/>
        <color rgb="FFE67E22"/>
      </font>
      <fill>
        <patternFill>
          <bgColor rgb="FFFDEBD0"/>
        </patternFill>
      </fill>
    </dxf>
    <dxf>
      <font>
        <name val="Arial"/>
        <charset val="1"/>
        <family val="0"/>
        <b val="1"/>
        <color rgb="FF7D6608"/>
      </font>
      <fill>
        <patternFill>
          <bgColor rgb="FFFFF9C4"/>
        </patternFill>
      </fill>
    </dxf>
    <dxf>
      <font>
        <name val="Arial"/>
        <charset val="1"/>
        <family val="0"/>
        <b val="1"/>
        <color rgb="FF27AE60"/>
      </font>
      <fill>
        <patternFill>
          <bgColor rgb="FFD5F5E3"/>
        </patternFill>
      </fill>
    </dxf>
    <dxf>
      <font>
        <name val="Arial"/>
        <charset val="1"/>
        <family val="0"/>
        <color rgb="FF856404"/>
      </font>
      <fill>
        <patternFill>
          <bgColor rgb="FFFFF3CD"/>
        </patternFill>
      </fill>
    </dxf>
    <dxf>
      <font>
        <name val="Arial"/>
        <charset val="1"/>
        <family val="0"/>
        <color rgb="FF27AE60"/>
      </font>
      <fill>
        <patternFill>
          <bgColor rgb="FFD5F5E3"/>
        </patternFill>
      </fill>
    </dxf>
    <dxf>
      <font>
        <name val="Arial"/>
        <charset val="1"/>
        <family val="0"/>
        <color rgb="FF2E4A6B"/>
      </font>
      <fill>
        <patternFill>
          <bgColor rgb="FFD6EAF8"/>
        </patternFill>
      </fill>
    </dxf>
  </dxfs>
  <colors>
    <indexedColors>
      <rgbColor rgb="FF000000"/>
      <rgbColor rgb="FFFFFFFF"/>
      <rgbColor rgb="FFFF0000"/>
      <rgbColor rgb="FF00FF00"/>
      <rgbColor rgb="FF0000FF"/>
      <rgbColor rgb="FFFFF3CD"/>
      <rgbColor rgb="FFFF00FF"/>
      <rgbColor rgb="FF00FFFF"/>
      <rgbColor rgb="FF800000"/>
      <rgbColor rgb="FF008000"/>
      <rgbColor rgb="FF000080"/>
      <rgbColor rgb="FF7D6608"/>
      <rgbColor rgb="FF800080"/>
      <rgbColor rgb="FF008080"/>
      <rgbColor rgb="FFCCCCCC"/>
      <rgbColor rgb="FF856404"/>
      <rgbColor rgb="FF9999FF"/>
      <rgbColor rgb="FFE74C3C"/>
      <rgbColor rgb="FFFFF9C4"/>
      <rgbColor rgb="FFD6EAF8"/>
      <rgbColor rgb="FF660066"/>
      <rgbColor rgb="FFF1948A"/>
      <rgbColor rgb="FF0066CC"/>
      <rgbColor rgb="FFE2E3EA"/>
      <rgbColor rgb="FF000080"/>
      <rgbColor rgb="FFFF00FF"/>
      <rgbColor rgb="FFFFFF00"/>
      <rgbColor rgb="FF00FFFF"/>
      <rgbColor rgb="FF800080"/>
      <rgbColor rgb="FF800000"/>
      <rgbColor rgb="FF008080"/>
      <rgbColor rgb="FF0000FF"/>
      <rgbColor rgb="FF00CCFF"/>
      <rgbColor rgb="FFF5F6F7"/>
      <rgbColor rgb="FFD5F5E3"/>
      <rgbColor rgb="FFF9E79F"/>
      <rgbColor rgb="FFA9DFBF"/>
      <rgbColor rgb="FFFDEBD0"/>
      <rgbColor rgb="FFCC99FF"/>
      <rgbColor rgb="FFFADBD8"/>
      <rgbColor rgb="FF3366FF"/>
      <rgbColor rgb="FF33CCCC"/>
      <rgbColor rgb="FF99CC00"/>
      <rgbColor rgb="FFFFCC00"/>
      <rgbColor rgb="FFFF9900"/>
      <rgbColor rgb="FFE67E22"/>
      <rgbColor rgb="FF3B5998"/>
      <rgbColor rgb="FFAAAAAA"/>
      <rgbColor rgb="FF1F2D3D"/>
      <rgbColor rgb="FF27AE60"/>
      <rgbColor rgb="FF003300"/>
      <rgbColor rgb="FF333300"/>
      <rgbColor rgb="FFC0392B"/>
      <rgbColor rgb="FF993366"/>
      <rgbColor rgb="FF2E4A6B"/>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D3D"/>
    <pageSetUpPr fitToPage="false"/>
  </sheetPr>
  <dimension ref="A1:P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28"/>
    <col collapsed="false" customWidth="true" hidden="false" outlineLevel="0" max="4" min="4" style="0" width="52"/>
    <col collapsed="false" customWidth="true" hidden="false" outlineLevel="0" max="5" min="5" style="0" width="18"/>
    <col collapsed="false" customWidth="true" hidden="false" outlineLevel="0" max="6" min="6" style="0" width="12"/>
    <col collapsed="false" customWidth="true" hidden="false" outlineLevel="0" max="7" min="7" style="0" width="10"/>
    <col collapsed="false" customWidth="true" hidden="false" outlineLevel="0" max="8" min="8" style="0" width="11"/>
    <col collapsed="false" customWidth="true" hidden="false" outlineLevel="0" max="9" min="9" style="0" width="12"/>
    <col collapsed="false" customWidth="true" hidden="false" outlineLevel="0" max="10" min="10" style="0" width="48"/>
    <col collapsed="false" customWidth="true" hidden="false" outlineLevel="0" max="11" min="11" style="0" width="42"/>
    <col collapsed="false" customWidth="true" hidden="false" outlineLevel="0" max="12" min="12" style="0" width="22"/>
    <col collapsed="false" customWidth="true" hidden="false" outlineLevel="0" max="13" min="13" style="0" width="13"/>
    <col collapsed="false" customWidth="true" hidden="false" outlineLevel="0" max="16" min="14" style="0" width="14"/>
  </cols>
  <sheetData>
    <row r="1" customFormat="false" ht="27.75" hidden="false" customHeight="true" outlineLevel="0" collapsed="false">
      <c r="A1" s="1" t="s">
        <v>0</v>
      </c>
      <c r="B1" s="1"/>
      <c r="C1" s="1"/>
      <c r="D1" s="1"/>
      <c r="E1" s="1"/>
      <c r="F1" s="1"/>
      <c r="G1" s="1"/>
      <c r="H1" s="1"/>
      <c r="I1" s="1"/>
      <c r="J1" s="1"/>
      <c r="K1" s="1"/>
      <c r="L1" s="1"/>
      <c r="M1" s="1"/>
      <c r="N1" s="1"/>
      <c r="O1" s="1"/>
      <c r="P1" s="1"/>
    </row>
    <row r="2" customFormat="false" ht="18" hidden="false" customHeight="true" outlineLevel="0" collapsed="false">
      <c r="A2" s="2" t="s">
        <v>1</v>
      </c>
      <c r="B2" s="2"/>
      <c r="C2" s="2"/>
      <c r="D2" s="2"/>
      <c r="E2" s="2"/>
      <c r="F2" s="2"/>
      <c r="G2" s="2"/>
      <c r="H2" s="2"/>
      <c r="I2" s="2"/>
      <c r="J2" s="2"/>
      <c r="K2" s="2"/>
      <c r="L2" s="2"/>
      <c r="M2" s="2"/>
      <c r="N2" s="2"/>
      <c r="O2" s="2"/>
      <c r="P2" s="2"/>
    </row>
    <row r="3" customFormat="false" ht="6" hidden="false" customHeight="true" outlineLevel="0" collapsed="false">
      <c r="A3" s="3"/>
      <c r="B3" s="3"/>
      <c r="C3" s="3"/>
      <c r="D3" s="3"/>
      <c r="E3" s="3"/>
      <c r="F3" s="3"/>
      <c r="G3" s="3"/>
      <c r="H3" s="3"/>
      <c r="I3" s="3"/>
      <c r="J3" s="3"/>
      <c r="K3" s="3"/>
      <c r="L3" s="3"/>
      <c r="M3" s="3"/>
      <c r="N3" s="3"/>
      <c r="O3" s="3"/>
      <c r="P3" s="3"/>
    </row>
    <row r="4" customFormat="false" ht="36" hidden="false" customHeight="true" outlineLevel="0" collapsed="false">
      <c r="A4" s="4" t="s">
        <v>2</v>
      </c>
      <c r="B4" s="4" t="s">
        <v>3</v>
      </c>
      <c r="C4" s="4" t="s">
        <v>4</v>
      </c>
      <c r="D4" s="4" t="s">
        <v>5</v>
      </c>
      <c r="E4" s="4" t="s">
        <v>6</v>
      </c>
      <c r="F4" s="4" t="s">
        <v>7</v>
      </c>
      <c r="G4" s="4" t="s">
        <v>8</v>
      </c>
      <c r="H4" s="4" t="s">
        <v>9</v>
      </c>
      <c r="I4" s="4" t="s">
        <v>10</v>
      </c>
      <c r="J4" s="4" t="s">
        <v>11</v>
      </c>
      <c r="K4" s="4" t="s">
        <v>12</v>
      </c>
      <c r="L4" s="4" t="s">
        <v>13</v>
      </c>
      <c r="M4" s="4" t="s">
        <v>14</v>
      </c>
      <c r="N4" s="4" t="s">
        <v>15</v>
      </c>
      <c r="O4" s="4" t="s">
        <v>16</v>
      </c>
      <c r="P4" s="4" t="s">
        <v>17</v>
      </c>
    </row>
    <row r="5" customFormat="false" ht="90" hidden="false" customHeight="true" outlineLevel="0" collapsed="false">
      <c r="A5" s="5" t="s">
        <v>18</v>
      </c>
      <c r="B5" s="6" t="s">
        <v>19</v>
      </c>
      <c r="C5" s="6" t="s">
        <v>20</v>
      </c>
      <c r="D5" s="6" t="s">
        <v>21</v>
      </c>
      <c r="E5" s="6" t="s">
        <v>22</v>
      </c>
      <c r="F5" s="7" t="n">
        <v>3</v>
      </c>
      <c r="G5" s="7" t="n">
        <v>4</v>
      </c>
      <c r="H5" s="8" t="n">
        <f aca="false">F5*G5</f>
        <v>12</v>
      </c>
      <c r="I5" s="9" t="str">
        <f aca="false">IF(H5&gt;=16,"Critical",IF(H5&gt;=9,"High",IF(H5&gt;=4,"Medium","Low")))</f>
        <v>High</v>
      </c>
      <c r="J5" s="6" t="s">
        <v>23</v>
      </c>
      <c r="K5" s="6" t="s">
        <v>24</v>
      </c>
      <c r="L5" s="6" t="s">
        <v>25</v>
      </c>
      <c r="M5" s="10" t="s">
        <v>26</v>
      </c>
      <c r="N5" s="10" t="s">
        <v>27</v>
      </c>
      <c r="O5" s="7" t="n">
        <v>2</v>
      </c>
      <c r="P5" s="7" t="n">
        <v>2</v>
      </c>
    </row>
    <row r="6" customFormat="false" ht="90" hidden="false" customHeight="true" outlineLevel="0" collapsed="false">
      <c r="A6" s="11" t="s">
        <v>28</v>
      </c>
      <c r="B6" s="12" t="s">
        <v>19</v>
      </c>
      <c r="C6" s="12" t="s">
        <v>29</v>
      </c>
      <c r="D6" s="12" t="s">
        <v>30</v>
      </c>
      <c r="E6" s="12" t="s">
        <v>31</v>
      </c>
      <c r="F6" s="13" t="n">
        <v>3</v>
      </c>
      <c r="G6" s="13" t="n">
        <v>5</v>
      </c>
      <c r="H6" s="14" t="n">
        <f aca="false">F6*G6</f>
        <v>15</v>
      </c>
      <c r="I6" s="15" t="str">
        <f aca="false">IF(H6&gt;=16,"Critical",IF(H6&gt;=9,"High",IF(H6&gt;=4,"Medium","Low")))</f>
        <v>High</v>
      </c>
      <c r="J6" s="12" t="s">
        <v>32</v>
      </c>
      <c r="K6" s="12" t="s">
        <v>33</v>
      </c>
      <c r="L6" s="12" t="s">
        <v>25</v>
      </c>
      <c r="M6" s="16" t="s">
        <v>26</v>
      </c>
      <c r="N6" s="16" t="s">
        <v>34</v>
      </c>
      <c r="O6" s="13" t="n">
        <v>1</v>
      </c>
      <c r="P6" s="13" t="n">
        <v>3</v>
      </c>
    </row>
    <row r="7" customFormat="false" ht="90" hidden="false" customHeight="true" outlineLevel="0" collapsed="false">
      <c r="A7" s="5" t="s">
        <v>35</v>
      </c>
      <c r="B7" s="6" t="s">
        <v>36</v>
      </c>
      <c r="C7" s="6" t="s">
        <v>37</v>
      </c>
      <c r="D7" s="6" t="s">
        <v>38</v>
      </c>
      <c r="E7" s="6" t="s">
        <v>39</v>
      </c>
      <c r="F7" s="7" t="n">
        <v>2</v>
      </c>
      <c r="G7" s="7" t="n">
        <v>3</v>
      </c>
      <c r="H7" s="8" t="n">
        <f aca="false">F7*G7</f>
        <v>6</v>
      </c>
      <c r="I7" s="9" t="str">
        <f aca="false">IF(H7&gt;=16,"Critical",IF(H7&gt;=9,"High",IF(H7&gt;=4,"Medium","Low")))</f>
        <v>Medium</v>
      </c>
      <c r="J7" s="6" t="s">
        <v>40</v>
      </c>
      <c r="K7" s="6" t="s">
        <v>41</v>
      </c>
      <c r="L7" s="6" t="s">
        <v>42</v>
      </c>
      <c r="M7" s="10" t="s">
        <v>26</v>
      </c>
      <c r="N7" s="10" t="s">
        <v>43</v>
      </c>
      <c r="O7" s="7" t="n">
        <v>1</v>
      </c>
      <c r="P7" s="7" t="n">
        <v>2</v>
      </c>
    </row>
    <row r="8" customFormat="false" ht="90" hidden="false" customHeight="true" outlineLevel="0" collapsed="false">
      <c r="A8" s="11" t="s">
        <v>44</v>
      </c>
      <c r="B8" s="12" t="s">
        <v>36</v>
      </c>
      <c r="C8" s="12" t="s">
        <v>45</v>
      </c>
      <c r="D8" s="12" t="s">
        <v>46</v>
      </c>
      <c r="E8" s="12" t="s">
        <v>47</v>
      </c>
      <c r="F8" s="13" t="n">
        <v>2</v>
      </c>
      <c r="G8" s="13" t="n">
        <v>4</v>
      </c>
      <c r="H8" s="14" t="n">
        <f aca="false">F8*G8</f>
        <v>8</v>
      </c>
      <c r="I8" s="15" t="str">
        <f aca="false">IF(H8&gt;=16,"Critical",IF(H8&gt;=9,"High",IF(H8&gt;=4,"Medium","Low")))</f>
        <v>Medium</v>
      </c>
      <c r="J8" s="12" t="s">
        <v>48</v>
      </c>
      <c r="K8" s="12" t="s">
        <v>49</v>
      </c>
      <c r="L8" s="12" t="s">
        <v>42</v>
      </c>
      <c r="M8" s="16" t="s">
        <v>26</v>
      </c>
      <c r="N8" s="16" t="s">
        <v>43</v>
      </c>
      <c r="O8" s="13" t="n">
        <v>1</v>
      </c>
      <c r="P8" s="13" t="n">
        <v>1</v>
      </c>
    </row>
    <row r="9" customFormat="false" ht="90" hidden="false" customHeight="true" outlineLevel="0" collapsed="false">
      <c r="A9" s="5" t="s">
        <v>50</v>
      </c>
      <c r="B9" s="6" t="s">
        <v>36</v>
      </c>
      <c r="C9" s="6" t="s">
        <v>51</v>
      </c>
      <c r="D9" s="6" t="s">
        <v>52</v>
      </c>
      <c r="E9" s="6" t="s">
        <v>53</v>
      </c>
      <c r="F9" s="7" t="n">
        <v>2</v>
      </c>
      <c r="G9" s="7" t="n">
        <v>3</v>
      </c>
      <c r="H9" s="8" t="n">
        <f aca="false">F9*G9</f>
        <v>6</v>
      </c>
      <c r="I9" s="9" t="str">
        <f aca="false">IF(H9&gt;=16,"Critical",IF(H9&gt;=9,"High",IF(H9&gt;=4,"Medium","Low")))</f>
        <v>Medium</v>
      </c>
      <c r="J9" s="6" t="s">
        <v>54</v>
      </c>
      <c r="K9" s="6" t="s">
        <v>55</v>
      </c>
      <c r="L9" s="6" t="s">
        <v>42</v>
      </c>
      <c r="M9" s="10" t="s">
        <v>26</v>
      </c>
      <c r="N9" s="10" t="s">
        <v>56</v>
      </c>
      <c r="O9" s="7" t="n">
        <v>1</v>
      </c>
      <c r="P9" s="7" t="n">
        <v>2</v>
      </c>
    </row>
    <row r="10" customFormat="false" ht="90" hidden="false" customHeight="true" outlineLevel="0" collapsed="false">
      <c r="A10" s="11" t="s">
        <v>57</v>
      </c>
      <c r="B10" s="12" t="s">
        <v>58</v>
      </c>
      <c r="C10" s="12" t="s">
        <v>59</v>
      </c>
      <c r="D10" s="12" t="s">
        <v>60</v>
      </c>
      <c r="E10" s="12" t="s">
        <v>61</v>
      </c>
      <c r="F10" s="13" t="n">
        <v>2</v>
      </c>
      <c r="G10" s="13" t="n">
        <v>5</v>
      </c>
      <c r="H10" s="14" t="n">
        <f aca="false">F10*G10</f>
        <v>10</v>
      </c>
      <c r="I10" s="15" t="str">
        <f aca="false">IF(H10&gt;=16,"Critical",IF(H10&gt;=9,"High",IF(H10&gt;=4,"Medium","Low")))</f>
        <v>High</v>
      </c>
      <c r="J10" s="12" t="s">
        <v>62</v>
      </c>
      <c r="K10" s="12" t="s">
        <v>63</v>
      </c>
      <c r="L10" s="12" t="s">
        <v>64</v>
      </c>
      <c r="M10" s="16" t="s">
        <v>26</v>
      </c>
      <c r="N10" s="16" t="s">
        <v>56</v>
      </c>
      <c r="O10" s="13" t="n">
        <v>1</v>
      </c>
      <c r="P10" s="13" t="n">
        <v>2</v>
      </c>
    </row>
    <row r="11" customFormat="false" ht="90" hidden="false" customHeight="true" outlineLevel="0" collapsed="false">
      <c r="A11" s="5" t="s">
        <v>65</v>
      </c>
      <c r="B11" s="6" t="s">
        <v>58</v>
      </c>
      <c r="C11" s="6" t="s">
        <v>66</v>
      </c>
      <c r="D11" s="6" t="s">
        <v>67</v>
      </c>
      <c r="E11" s="6" t="s">
        <v>68</v>
      </c>
      <c r="F11" s="7" t="n">
        <v>2</v>
      </c>
      <c r="G11" s="7" t="n">
        <v>5</v>
      </c>
      <c r="H11" s="8" t="n">
        <f aca="false">F11*G11</f>
        <v>10</v>
      </c>
      <c r="I11" s="9" t="str">
        <f aca="false">IF(H11&gt;=16,"Critical",IF(H11&gt;=9,"High",IF(H11&gt;=4,"Medium","Low")))</f>
        <v>High</v>
      </c>
      <c r="J11" s="6" t="s">
        <v>69</v>
      </c>
      <c r="K11" s="6" t="s">
        <v>70</v>
      </c>
      <c r="L11" s="6" t="s">
        <v>64</v>
      </c>
      <c r="M11" s="10" t="s">
        <v>26</v>
      </c>
      <c r="N11" s="10" t="s">
        <v>34</v>
      </c>
      <c r="O11" s="7" t="n">
        <v>1</v>
      </c>
      <c r="P11" s="7" t="n">
        <v>3</v>
      </c>
    </row>
    <row r="12" customFormat="false" ht="90" hidden="false" customHeight="true" outlineLevel="0" collapsed="false">
      <c r="A12" s="11" t="s">
        <v>71</v>
      </c>
      <c r="B12" s="12" t="s">
        <v>58</v>
      </c>
      <c r="C12" s="12" t="s">
        <v>72</v>
      </c>
      <c r="D12" s="12" t="s">
        <v>73</v>
      </c>
      <c r="E12" s="12" t="s">
        <v>74</v>
      </c>
      <c r="F12" s="13" t="n">
        <v>2</v>
      </c>
      <c r="G12" s="13" t="n">
        <v>4</v>
      </c>
      <c r="H12" s="14" t="n">
        <f aca="false">F12*G12</f>
        <v>8</v>
      </c>
      <c r="I12" s="15" t="str">
        <f aca="false">IF(H12&gt;=16,"Critical",IF(H12&gt;=9,"High",IF(H12&gt;=4,"Medium","Low")))</f>
        <v>Medium</v>
      </c>
      <c r="J12" s="12" t="s">
        <v>75</v>
      </c>
      <c r="K12" s="12" t="s">
        <v>76</v>
      </c>
      <c r="L12" s="12" t="s">
        <v>64</v>
      </c>
      <c r="M12" s="16" t="s">
        <v>26</v>
      </c>
      <c r="N12" s="16" t="s">
        <v>43</v>
      </c>
      <c r="O12" s="13" t="n">
        <v>1</v>
      </c>
      <c r="P12" s="13" t="n">
        <v>2</v>
      </c>
    </row>
    <row r="13" customFormat="false" ht="90" hidden="false" customHeight="true" outlineLevel="0" collapsed="false">
      <c r="A13" s="5" t="s">
        <v>77</v>
      </c>
      <c r="B13" s="6" t="s">
        <v>78</v>
      </c>
      <c r="C13" s="6" t="s">
        <v>79</v>
      </c>
      <c r="D13" s="6" t="s">
        <v>80</v>
      </c>
      <c r="E13" s="6" t="s">
        <v>81</v>
      </c>
      <c r="F13" s="7" t="n">
        <v>2</v>
      </c>
      <c r="G13" s="7" t="n">
        <v>5</v>
      </c>
      <c r="H13" s="8" t="n">
        <f aca="false">F13*G13</f>
        <v>10</v>
      </c>
      <c r="I13" s="9" t="str">
        <f aca="false">IF(H13&gt;=16,"Critical",IF(H13&gt;=9,"High",IF(H13&gt;=4,"Medium","Low")))</f>
        <v>High</v>
      </c>
      <c r="J13" s="6" t="s">
        <v>82</v>
      </c>
      <c r="K13" s="6" t="s">
        <v>83</v>
      </c>
      <c r="L13" s="6" t="s">
        <v>84</v>
      </c>
      <c r="M13" s="10" t="s">
        <v>26</v>
      </c>
      <c r="N13" s="10" t="s">
        <v>43</v>
      </c>
      <c r="O13" s="7" t="n">
        <v>1</v>
      </c>
      <c r="P13" s="7" t="n">
        <v>2</v>
      </c>
    </row>
    <row r="14" customFormat="false" ht="90" hidden="false" customHeight="true" outlineLevel="0" collapsed="false">
      <c r="A14" s="11" t="s">
        <v>85</v>
      </c>
      <c r="B14" s="12" t="s">
        <v>78</v>
      </c>
      <c r="C14" s="12" t="s">
        <v>86</v>
      </c>
      <c r="D14" s="12" t="s">
        <v>87</v>
      </c>
      <c r="E14" s="12" t="s">
        <v>88</v>
      </c>
      <c r="F14" s="13" t="n">
        <v>2</v>
      </c>
      <c r="G14" s="13" t="n">
        <v>4</v>
      </c>
      <c r="H14" s="14" t="n">
        <f aca="false">F14*G14</f>
        <v>8</v>
      </c>
      <c r="I14" s="15" t="str">
        <f aca="false">IF(H14&gt;=16,"Critical",IF(H14&gt;=9,"High",IF(H14&gt;=4,"Medium","Low")))</f>
        <v>Medium</v>
      </c>
      <c r="J14" s="12" t="s">
        <v>89</v>
      </c>
      <c r="K14" s="12" t="s">
        <v>90</v>
      </c>
      <c r="L14" s="12" t="s">
        <v>42</v>
      </c>
      <c r="M14" s="16" t="s">
        <v>26</v>
      </c>
      <c r="N14" s="16" t="s">
        <v>56</v>
      </c>
      <c r="O14" s="13" t="n">
        <v>1</v>
      </c>
      <c r="P14" s="13" t="n">
        <v>1</v>
      </c>
    </row>
    <row r="15" customFormat="false" ht="90" hidden="false" customHeight="true" outlineLevel="0" collapsed="false">
      <c r="A15" s="5" t="s">
        <v>91</v>
      </c>
      <c r="B15" s="6" t="s">
        <v>92</v>
      </c>
      <c r="C15" s="6" t="s">
        <v>93</v>
      </c>
      <c r="D15" s="6" t="s">
        <v>94</v>
      </c>
      <c r="E15" s="6" t="s">
        <v>95</v>
      </c>
      <c r="F15" s="7" t="n">
        <v>3</v>
      </c>
      <c r="G15" s="7" t="n">
        <v>3</v>
      </c>
      <c r="H15" s="8" t="n">
        <f aca="false">F15*G15</f>
        <v>9</v>
      </c>
      <c r="I15" s="9" t="str">
        <f aca="false">IF(H15&gt;=16,"Critical",IF(H15&gt;=9,"High",IF(H15&gt;=4,"Medium","Low")))</f>
        <v>High</v>
      </c>
      <c r="J15" s="6" t="s">
        <v>96</v>
      </c>
      <c r="K15" s="6" t="s">
        <v>97</v>
      </c>
      <c r="L15" s="6" t="s">
        <v>98</v>
      </c>
      <c r="M15" s="10" t="s">
        <v>26</v>
      </c>
      <c r="N15" s="10" t="s">
        <v>99</v>
      </c>
      <c r="O15" s="7" t="n">
        <v>2</v>
      </c>
      <c r="P15" s="7" t="n">
        <v>2</v>
      </c>
    </row>
    <row r="16" customFormat="false" ht="90" hidden="false" customHeight="true" outlineLevel="0" collapsed="false">
      <c r="A16" s="11" t="s">
        <v>100</v>
      </c>
      <c r="B16" s="12" t="s">
        <v>92</v>
      </c>
      <c r="C16" s="12" t="s">
        <v>101</v>
      </c>
      <c r="D16" s="12" t="s">
        <v>102</v>
      </c>
      <c r="E16" s="12" t="s">
        <v>103</v>
      </c>
      <c r="F16" s="13" t="n">
        <v>2</v>
      </c>
      <c r="G16" s="13" t="n">
        <v>5</v>
      </c>
      <c r="H16" s="14" t="n">
        <f aca="false">F16*G16</f>
        <v>10</v>
      </c>
      <c r="I16" s="15" t="str">
        <f aca="false">IF(H16&gt;=16,"Critical",IF(H16&gt;=9,"High",IF(H16&gt;=4,"Medium","Low")))</f>
        <v>High</v>
      </c>
      <c r="J16" s="12" t="s">
        <v>104</v>
      </c>
      <c r="K16" s="12" t="s">
        <v>105</v>
      </c>
      <c r="L16" s="12" t="s">
        <v>42</v>
      </c>
      <c r="M16" s="16" t="s">
        <v>26</v>
      </c>
      <c r="N16" s="16" t="s">
        <v>43</v>
      </c>
      <c r="O16" s="13" t="n">
        <v>1</v>
      </c>
      <c r="P16" s="13" t="n">
        <v>2</v>
      </c>
    </row>
    <row r="17" customFormat="false" ht="90" hidden="false" customHeight="true" outlineLevel="0" collapsed="false">
      <c r="A17" s="5" t="s">
        <v>106</v>
      </c>
      <c r="B17" s="6" t="s">
        <v>92</v>
      </c>
      <c r="C17" s="6" t="s">
        <v>107</v>
      </c>
      <c r="D17" s="6" t="s">
        <v>108</v>
      </c>
      <c r="E17" s="6" t="s">
        <v>109</v>
      </c>
      <c r="F17" s="7" t="n">
        <v>3</v>
      </c>
      <c r="G17" s="7" t="n">
        <v>4</v>
      </c>
      <c r="H17" s="8" t="n">
        <f aca="false">F17*G17</f>
        <v>12</v>
      </c>
      <c r="I17" s="9" t="str">
        <f aca="false">IF(H17&gt;=16,"Critical",IF(H17&gt;=9,"High",IF(H17&gt;=4,"Medium","Low")))</f>
        <v>High</v>
      </c>
      <c r="J17" s="6" t="s">
        <v>110</v>
      </c>
      <c r="K17" s="6" t="s">
        <v>111</v>
      </c>
      <c r="L17" s="6" t="s">
        <v>112</v>
      </c>
      <c r="M17" s="10" t="s">
        <v>26</v>
      </c>
      <c r="N17" s="10" t="s">
        <v>99</v>
      </c>
      <c r="O17" s="7" t="n">
        <v>1</v>
      </c>
      <c r="P17" s="7" t="n">
        <v>2</v>
      </c>
    </row>
    <row r="18" customFormat="false" ht="90" hidden="false" customHeight="true" outlineLevel="0" collapsed="false">
      <c r="A18" s="11" t="s">
        <v>113</v>
      </c>
      <c r="B18" s="12" t="s">
        <v>92</v>
      </c>
      <c r="C18" s="12" t="s">
        <v>114</v>
      </c>
      <c r="D18" s="12" t="s">
        <v>115</v>
      </c>
      <c r="E18" s="12" t="s">
        <v>116</v>
      </c>
      <c r="F18" s="13" t="n">
        <v>2</v>
      </c>
      <c r="G18" s="13" t="n">
        <v>2</v>
      </c>
      <c r="H18" s="14" t="n">
        <f aca="false">F18*G18</f>
        <v>4</v>
      </c>
      <c r="I18" s="15" t="str">
        <f aca="false">IF(H18&gt;=16,"Critical",IF(H18&gt;=9,"High",IF(H18&gt;=4,"Medium","Low")))</f>
        <v>Medium</v>
      </c>
      <c r="J18" s="12" t="s">
        <v>117</v>
      </c>
      <c r="K18" s="12" t="s">
        <v>118</v>
      </c>
      <c r="L18" s="12" t="s">
        <v>42</v>
      </c>
      <c r="M18" s="16" t="s">
        <v>26</v>
      </c>
      <c r="N18" s="16" t="s">
        <v>56</v>
      </c>
      <c r="O18" s="13" t="n">
        <v>1</v>
      </c>
      <c r="P18" s="13" t="n">
        <v>1</v>
      </c>
    </row>
    <row r="19" customFormat="false" ht="90" hidden="false" customHeight="true" outlineLevel="0" collapsed="false">
      <c r="A19" s="5" t="s">
        <v>119</v>
      </c>
      <c r="B19" s="6" t="s">
        <v>120</v>
      </c>
      <c r="C19" s="6" t="s">
        <v>121</v>
      </c>
      <c r="D19" s="6" t="s">
        <v>122</v>
      </c>
      <c r="E19" s="6" t="s">
        <v>123</v>
      </c>
      <c r="F19" s="7" t="n">
        <v>2</v>
      </c>
      <c r="G19" s="7" t="n">
        <v>5</v>
      </c>
      <c r="H19" s="8" t="n">
        <f aca="false">F19*G19</f>
        <v>10</v>
      </c>
      <c r="I19" s="9" t="str">
        <f aca="false">IF(H19&gt;=16,"Critical",IF(H19&gt;=9,"High",IF(H19&gt;=4,"Medium","Low")))</f>
        <v>High</v>
      </c>
      <c r="J19" s="6" t="s">
        <v>124</v>
      </c>
      <c r="K19" s="6" t="s">
        <v>125</v>
      </c>
      <c r="L19" s="6" t="s">
        <v>112</v>
      </c>
      <c r="M19" s="10" t="s">
        <v>26</v>
      </c>
      <c r="N19" s="10" t="s">
        <v>99</v>
      </c>
      <c r="O19" s="7" t="n">
        <v>1</v>
      </c>
      <c r="P19" s="7" t="n">
        <v>3</v>
      </c>
    </row>
    <row r="20" customFormat="false" ht="90" hidden="false" customHeight="true" outlineLevel="0" collapsed="false">
      <c r="A20" s="11" t="s">
        <v>126</v>
      </c>
      <c r="B20" s="12" t="s">
        <v>120</v>
      </c>
      <c r="C20" s="12" t="s">
        <v>127</v>
      </c>
      <c r="D20" s="12" t="s">
        <v>128</v>
      </c>
      <c r="E20" s="12" t="s">
        <v>129</v>
      </c>
      <c r="F20" s="13" t="n">
        <v>2</v>
      </c>
      <c r="G20" s="13" t="n">
        <v>4</v>
      </c>
      <c r="H20" s="14" t="n">
        <f aca="false">F20*G20</f>
        <v>8</v>
      </c>
      <c r="I20" s="15" t="str">
        <f aca="false">IF(H20&gt;=16,"Critical",IF(H20&gt;=9,"High",IF(H20&gt;=4,"Medium","Low")))</f>
        <v>Medium</v>
      </c>
      <c r="J20" s="12" t="s">
        <v>130</v>
      </c>
      <c r="K20" s="12" t="s">
        <v>131</v>
      </c>
      <c r="L20" s="12" t="s">
        <v>112</v>
      </c>
      <c r="M20" s="16" t="s">
        <v>26</v>
      </c>
      <c r="N20" s="16" t="s">
        <v>99</v>
      </c>
      <c r="O20" s="13" t="n">
        <v>1</v>
      </c>
      <c r="P20" s="13" t="n">
        <v>2</v>
      </c>
    </row>
    <row r="21" customFormat="false" ht="90" hidden="false" customHeight="true" outlineLevel="0" collapsed="false">
      <c r="A21" s="5" t="s">
        <v>132</v>
      </c>
      <c r="B21" s="6" t="s">
        <v>133</v>
      </c>
      <c r="C21" s="6" t="s">
        <v>134</v>
      </c>
      <c r="D21" s="6" t="s">
        <v>135</v>
      </c>
      <c r="E21" s="6" t="s">
        <v>136</v>
      </c>
      <c r="F21" s="7" t="n">
        <v>2</v>
      </c>
      <c r="G21" s="7" t="n">
        <v>3</v>
      </c>
      <c r="H21" s="8" t="n">
        <f aca="false">F21*G21</f>
        <v>6</v>
      </c>
      <c r="I21" s="9" t="str">
        <f aca="false">IF(H21&gt;=16,"Critical",IF(H21&gt;=9,"High",IF(H21&gt;=4,"Medium","Low")))</f>
        <v>Medium</v>
      </c>
      <c r="J21" s="6" t="s">
        <v>137</v>
      </c>
      <c r="K21" s="6" t="s">
        <v>138</v>
      </c>
      <c r="L21" s="6" t="s">
        <v>42</v>
      </c>
      <c r="M21" s="10" t="s">
        <v>26</v>
      </c>
      <c r="N21" s="10" t="s">
        <v>56</v>
      </c>
      <c r="O21" s="7" t="n">
        <v>1</v>
      </c>
      <c r="P21" s="7" t="n">
        <v>2</v>
      </c>
    </row>
    <row r="22" customFormat="false" ht="90" hidden="false" customHeight="true" outlineLevel="0" collapsed="false">
      <c r="A22" s="11" t="s">
        <v>139</v>
      </c>
      <c r="B22" s="12" t="s">
        <v>133</v>
      </c>
      <c r="C22" s="12" t="s">
        <v>140</v>
      </c>
      <c r="D22" s="12" t="s">
        <v>141</v>
      </c>
      <c r="E22" s="12" t="s">
        <v>142</v>
      </c>
      <c r="F22" s="13" t="n">
        <v>2</v>
      </c>
      <c r="G22" s="13" t="n">
        <v>3</v>
      </c>
      <c r="H22" s="14" t="n">
        <f aca="false">F22*G22</f>
        <v>6</v>
      </c>
      <c r="I22" s="15" t="str">
        <f aca="false">IF(H22&gt;=16,"Critical",IF(H22&gt;=9,"High",IF(H22&gt;=4,"Medium","Low")))</f>
        <v>Medium</v>
      </c>
      <c r="J22" s="12" t="s">
        <v>143</v>
      </c>
      <c r="K22" s="12" t="s">
        <v>144</v>
      </c>
      <c r="L22" s="12" t="s">
        <v>112</v>
      </c>
      <c r="M22" s="16" t="s">
        <v>26</v>
      </c>
      <c r="N22" s="16" t="s">
        <v>99</v>
      </c>
      <c r="O22" s="13" t="n">
        <v>1</v>
      </c>
      <c r="P22" s="13" t="n">
        <v>2</v>
      </c>
    </row>
    <row r="23" customFormat="false" ht="90" hidden="false" customHeight="true" outlineLevel="0" collapsed="false">
      <c r="A23" s="5" t="s">
        <v>145</v>
      </c>
      <c r="B23" s="6" t="s">
        <v>146</v>
      </c>
      <c r="C23" s="6" t="s">
        <v>147</v>
      </c>
      <c r="D23" s="6" t="s">
        <v>148</v>
      </c>
      <c r="E23" s="6" t="s">
        <v>149</v>
      </c>
      <c r="F23" s="7" t="n">
        <v>3</v>
      </c>
      <c r="G23" s="7" t="n">
        <v>3</v>
      </c>
      <c r="H23" s="8" t="n">
        <f aca="false">F23*G23</f>
        <v>9</v>
      </c>
      <c r="I23" s="9" t="str">
        <f aca="false">IF(H23&gt;=16,"Critical",IF(H23&gt;=9,"High",IF(H23&gt;=4,"Medium","Low")))</f>
        <v>High</v>
      </c>
      <c r="J23" s="6" t="s">
        <v>150</v>
      </c>
      <c r="K23" s="6" t="s">
        <v>151</v>
      </c>
      <c r="L23" s="6" t="s">
        <v>98</v>
      </c>
      <c r="M23" s="10" t="s">
        <v>26</v>
      </c>
      <c r="N23" s="10" t="s">
        <v>152</v>
      </c>
      <c r="O23" s="7" t="n">
        <v>2</v>
      </c>
      <c r="P23" s="7" t="n">
        <v>2</v>
      </c>
    </row>
    <row r="24" customFormat="false" ht="90" hidden="false" customHeight="true" outlineLevel="0" collapsed="false">
      <c r="A24" s="11" t="s">
        <v>153</v>
      </c>
      <c r="B24" s="12" t="s">
        <v>146</v>
      </c>
      <c r="C24" s="12" t="s">
        <v>154</v>
      </c>
      <c r="D24" s="12" t="s">
        <v>155</v>
      </c>
      <c r="E24" s="12" t="s">
        <v>156</v>
      </c>
      <c r="F24" s="13" t="n">
        <v>2</v>
      </c>
      <c r="G24" s="13" t="n">
        <v>3</v>
      </c>
      <c r="H24" s="14" t="n">
        <f aca="false">F24*G24</f>
        <v>6</v>
      </c>
      <c r="I24" s="15" t="str">
        <f aca="false">IF(H24&gt;=16,"Critical",IF(H24&gt;=9,"High",IF(H24&gt;=4,"Medium","Low")))</f>
        <v>Medium</v>
      </c>
      <c r="J24" s="12" t="s">
        <v>157</v>
      </c>
      <c r="K24" s="12" t="s">
        <v>158</v>
      </c>
      <c r="L24" s="12" t="s">
        <v>98</v>
      </c>
      <c r="M24" s="16" t="s">
        <v>26</v>
      </c>
      <c r="N24" s="16" t="s">
        <v>99</v>
      </c>
      <c r="O24" s="13" t="n">
        <v>1</v>
      </c>
      <c r="P24" s="13" t="n">
        <v>2</v>
      </c>
    </row>
    <row r="25" customFormat="false" ht="90" hidden="false" customHeight="true" outlineLevel="0" collapsed="false">
      <c r="A25" s="5" t="s">
        <v>159</v>
      </c>
      <c r="B25" s="6" t="s">
        <v>146</v>
      </c>
      <c r="C25" s="6" t="s">
        <v>160</v>
      </c>
      <c r="D25" s="6" t="s">
        <v>161</v>
      </c>
      <c r="E25" s="6" t="s">
        <v>162</v>
      </c>
      <c r="F25" s="7" t="n">
        <v>3</v>
      </c>
      <c r="G25" s="7" t="n">
        <v>3</v>
      </c>
      <c r="H25" s="8" t="n">
        <f aca="false">F25*G25</f>
        <v>9</v>
      </c>
      <c r="I25" s="9" t="str">
        <f aca="false">IF(H25&gt;=16,"Critical",IF(H25&gt;=9,"High",IF(H25&gt;=4,"Medium","Low")))</f>
        <v>High</v>
      </c>
      <c r="J25" s="6" t="s">
        <v>163</v>
      </c>
      <c r="K25" s="6" t="s">
        <v>164</v>
      </c>
      <c r="L25" s="6" t="s">
        <v>98</v>
      </c>
      <c r="M25" s="10" t="s">
        <v>26</v>
      </c>
      <c r="N25" s="10" t="s">
        <v>34</v>
      </c>
      <c r="O25" s="7" t="n">
        <v>1</v>
      </c>
      <c r="P25" s="7" t="n">
        <v>2</v>
      </c>
    </row>
    <row r="26" customFormat="false" ht="90" hidden="false" customHeight="true" outlineLevel="0" collapsed="false">
      <c r="A26" s="11" t="s">
        <v>165</v>
      </c>
      <c r="B26" s="12" t="s">
        <v>166</v>
      </c>
      <c r="C26" s="12" t="s">
        <v>167</v>
      </c>
      <c r="D26" s="12" t="s">
        <v>168</v>
      </c>
      <c r="E26" s="12" t="s">
        <v>169</v>
      </c>
      <c r="F26" s="13" t="n">
        <v>2</v>
      </c>
      <c r="G26" s="13" t="n">
        <v>4</v>
      </c>
      <c r="H26" s="14" t="n">
        <f aca="false">F26*G26</f>
        <v>8</v>
      </c>
      <c r="I26" s="15" t="str">
        <f aca="false">IF(H26&gt;=16,"Critical",IF(H26&gt;=9,"High",IF(H26&gt;=4,"Medium","Low")))</f>
        <v>Medium</v>
      </c>
      <c r="J26" s="12" t="s">
        <v>170</v>
      </c>
      <c r="K26" s="12" t="s">
        <v>171</v>
      </c>
      <c r="L26" s="12" t="s">
        <v>172</v>
      </c>
      <c r="M26" s="16" t="s">
        <v>26</v>
      </c>
      <c r="N26" s="16" t="s">
        <v>173</v>
      </c>
      <c r="O26" s="13" t="n">
        <v>1</v>
      </c>
      <c r="P26" s="13" t="n">
        <v>3</v>
      </c>
    </row>
    <row r="27" customFormat="false" ht="90" hidden="false" customHeight="true" outlineLevel="0" collapsed="false">
      <c r="A27" s="5" t="s">
        <v>174</v>
      </c>
      <c r="B27" s="6" t="s">
        <v>166</v>
      </c>
      <c r="C27" s="6" t="s">
        <v>175</v>
      </c>
      <c r="D27" s="6" t="s">
        <v>176</v>
      </c>
      <c r="E27" s="6" t="s">
        <v>177</v>
      </c>
      <c r="F27" s="7" t="n">
        <v>3</v>
      </c>
      <c r="G27" s="7" t="n">
        <v>3</v>
      </c>
      <c r="H27" s="8" t="n">
        <f aca="false">F27*G27</f>
        <v>9</v>
      </c>
      <c r="I27" s="9" t="str">
        <f aca="false">IF(H27&gt;=16,"Critical",IF(H27&gt;=9,"High",IF(H27&gt;=4,"Medium","Low")))</f>
        <v>High</v>
      </c>
      <c r="J27" s="6" t="s">
        <v>178</v>
      </c>
      <c r="K27" s="6" t="s">
        <v>179</v>
      </c>
      <c r="L27" s="6" t="s">
        <v>172</v>
      </c>
      <c r="M27" s="10" t="s">
        <v>26</v>
      </c>
      <c r="N27" s="10" t="s">
        <v>180</v>
      </c>
      <c r="O27" s="7" t="n">
        <v>2</v>
      </c>
      <c r="P27" s="7" t="n">
        <v>2</v>
      </c>
    </row>
    <row r="28" customFormat="false" ht="90" hidden="false" customHeight="true" outlineLevel="0" collapsed="false">
      <c r="A28" s="11" t="s">
        <v>181</v>
      </c>
      <c r="B28" s="12" t="s">
        <v>166</v>
      </c>
      <c r="C28" s="12" t="s">
        <v>182</v>
      </c>
      <c r="D28" s="12" t="s">
        <v>183</v>
      </c>
      <c r="E28" s="12" t="s">
        <v>169</v>
      </c>
      <c r="F28" s="13" t="n">
        <v>3</v>
      </c>
      <c r="G28" s="13" t="n">
        <v>4</v>
      </c>
      <c r="H28" s="14" t="n">
        <f aca="false">F28*G28</f>
        <v>12</v>
      </c>
      <c r="I28" s="15" t="str">
        <f aca="false">IF(H28&gt;=16,"Critical",IF(H28&gt;=9,"High",IF(H28&gt;=4,"Medium","Low")))</f>
        <v>High</v>
      </c>
      <c r="J28" s="12" t="s">
        <v>184</v>
      </c>
      <c r="K28" s="12" t="s">
        <v>185</v>
      </c>
      <c r="L28" s="12" t="s">
        <v>172</v>
      </c>
      <c r="M28" s="16" t="s">
        <v>26</v>
      </c>
      <c r="N28" s="16" t="s">
        <v>27</v>
      </c>
      <c r="O28" s="13" t="n">
        <v>2</v>
      </c>
      <c r="P28" s="13" t="n">
        <v>3</v>
      </c>
    </row>
    <row r="29" customFormat="false" ht="90" hidden="false" customHeight="true" outlineLevel="0" collapsed="false">
      <c r="A29" s="5" t="s">
        <v>186</v>
      </c>
      <c r="B29" s="6" t="s">
        <v>36</v>
      </c>
      <c r="C29" s="6" t="s">
        <v>187</v>
      </c>
      <c r="D29" s="6" t="s">
        <v>188</v>
      </c>
      <c r="E29" s="6" t="s">
        <v>189</v>
      </c>
      <c r="F29" s="7" t="n">
        <v>2</v>
      </c>
      <c r="G29" s="7" t="n">
        <v>2</v>
      </c>
      <c r="H29" s="8" t="n">
        <f aca="false">F29*G29</f>
        <v>4</v>
      </c>
      <c r="I29" s="9" t="str">
        <f aca="false">IF(H29&gt;=16,"Critical",IF(H29&gt;=9,"High",IF(H29&gt;=4,"Medium","Low")))</f>
        <v>Medium</v>
      </c>
      <c r="J29" s="6" t="s">
        <v>190</v>
      </c>
      <c r="K29" s="6" t="s">
        <v>191</v>
      </c>
      <c r="L29" s="6" t="s">
        <v>42</v>
      </c>
      <c r="M29" s="10" t="s">
        <v>26</v>
      </c>
      <c r="N29" s="10" t="s">
        <v>56</v>
      </c>
      <c r="O29" s="7" t="n">
        <v>1</v>
      </c>
      <c r="P29" s="7" t="n">
        <v>1</v>
      </c>
    </row>
    <row r="30" customFormat="false" ht="90" hidden="false" customHeight="true" outlineLevel="0" collapsed="false">
      <c r="A30" s="11" t="s">
        <v>192</v>
      </c>
      <c r="B30" s="12" t="s">
        <v>193</v>
      </c>
      <c r="C30" s="12" t="s">
        <v>194</v>
      </c>
      <c r="D30" s="12" t="s">
        <v>195</v>
      </c>
      <c r="E30" s="12" t="s">
        <v>196</v>
      </c>
      <c r="F30" s="13" t="n">
        <v>3</v>
      </c>
      <c r="G30" s="13" t="n">
        <v>4</v>
      </c>
      <c r="H30" s="14" t="n">
        <f aca="false">F30*G30</f>
        <v>12</v>
      </c>
      <c r="I30" s="15" t="str">
        <f aca="false">IF(H30&gt;=16,"Critical",IF(H30&gt;=9,"High",IF(H30&gt;=4,"Medium","Low")))</f>
        <v>High</v>
      </c>
      <c r="J30" s="12" t="s">
        <v>197</v>
      </c>
      <c r="K30" s="12" t="s">
        <v>198</v>
      </c>
      <c r="L30" s="12" t="s">
        <v>112</v>
      </c>
      <c r="M30" s="16" t="s">
        <v>26</v>
      </c>
      <c r="N30" s="16" t="s">
        <v>99</v>
      </c>
      <c r="O30" s="13" t="n">
        <v>2</v>
      </c>
      <c r="P30" s="13" t="n">
        <v>3</v>
      </c>
    </row>
    <row r="31" customFormat="false" ht="90" hidden="false" customHeight="true" outlineLevel="0" collapsed="false">
      <c r="A31" s="5" t="s">
        <v>199</v>
      </c>
      <c r="B31" s="6" t="s">
        <v>193</v>
      </c>
      <c r="C31" s="6" t="s">
        <v>200</v>
      </c>
      <c r="D31" s="6" t="s">
        <v>201</v>
      </c>
      <c r="E31" s="6" t="s">
        <v>202</v>
      </c>
      <c r="F31" s="7" t="n">
        <v>2</v>
      </c>
      <c r="G31" s="7" t="n">
        <v>4</v>
      </c>
      <c r="H31" s="8" t="n">
        <f aca="false">F31*G31</f>
        <v>8</v>
      </c>
      <c r="I31" s="9" t="str">
        <f aca="false">IF(H31&gt;=16,"Critical",IF(H31&gt;=9,"High",IF(H31&gt;=4,"Medium","Low")))</f>
        <v>Medium</v>
      </c>
      <c r="J31" s="6" t="s">
        <v>203</v>
      </c>
      <c r="K31" s="6" t="s">
        <v>204</v>
      </c>
      <c r="L31" s="6" t="s">
        <v>112</v>
      </c>
      <c r="M31" s="10" t="s">
        <v>26</v>
      </c>
      <c r="N31" s="10" t="s">
        <v>99</v>
      </c>
      <c r="O31" s="7" t="n">
        <v>1</v>
      </c>
      <c r="P31" s="7" t="n">
        <v>3</v>
      </c>
    </row>
    <row r="32" customFormat="false" ht="90" hidden="false" customHeight="true" outlineLevel="0" collapsed="false">
      <c r="A32" s="11" t="s">
        <v>205</v>
      </c>
      <c r="B32" s="12" t="s">
        <v>193</v>
      </c>
      <c r="C32" s="12" t="s">
        <v>206</v>
      </c>
      <c r="D32" s="12" t="s">
        <v>207</v>
      </c>
      <c r="E32" s="12" t="s">
        <v>74</v>
      </c>
      <c r="F32" s="13" t="n">
        <v>3</v>
      </c>
      <c r="G32" s="13" t="n">
        <v>4</v>
      </c>
      <c r="H32" s="14" t="n">
        <f aca="false">F32*G32</f>
        <v>12</v>
      </c>
      <c r="I32" s="15" t="str">
        <f aca="false">IF(H32&gt;=16,"Critical",IF(H32&gt;=9,"High",IF(H32&gt;=4,"Medium","Low")))</f>
        <v>High</v>
      </c>
      <c r="J32" s="12" t="s">
        <v>208</v>
      </c>
      <c r="K32" s="12" t="s">
        <v>209</v>
      </c>
      <c r="L32" s="12" t="s">
        <v>112</v>
      </c>
      <c r="M32" s="16" t="s">
        <v>26</v>
      </c>
      <c r="N32" s="16" t="s">
        <v>56</v>
      </c>
      <c r="O32" s="13" t="n">
        <v>1</v>
      </c>
      <c r="P32" s="13" t="n">
        <v>3</v>
      </c>
    </row>
    <row r="33" customFormat="false" ht="90" hidden="false" customHeight="true" outlineLevel="0" collapsed="false">
      <c r="A33" s="5" t="s">
        <v>210</v>
      </c>
      <c r="B33" s="6" t="s">
        <v>193</v>
      </c>
      <c r="C33" s="6" t="s">
        <v>211</v>
      </c>
      <c r="D33" s="6" t="s">
        <v>212</v>
      </c>
      <c r="E33" s="6" t="s">
        <v>213</v>
      </c>
      <c r="F33" s="7" t="n">
        <v>2</v>
      </c>
      <c r="G33" s="7" t="n">
        <v>4</v>
      </c>
      <c r="H33" s="8" t="n">
        <f aca="false">F33*G33</f>
        <v>8</v>
      </c>
      <c r="I33" s="9" t="str">
        <f aca="false">IF(H33&gt;=16,"Critical",IF(H33&gt;=9,"High",IF(H33&gt;=4,"Medium","Low")))</f>
        <v>Medium</v>
      </c>
      <c r="J33" s="6" t="s">
        <v>214</v>
      </c>
      <c r="K33" s="6" t="s">
        <v>215</v>
      </c>
      <c r="L33" s="6" t="s">
        <v>112</v>
      </c>
      <c r="M33" s="10" t="s">
        <v>26</v>
      </c>
      <c r="N33" s="10" t="s">
        <v>99</v>
      </c>
      <c r="O33" s="7" t="n">
        <v>1</v>
      </c>
      <c r="P33" s="7" t="n">
        <v>3</v>
      </c>
    </row>
    <row r="34" customFormat="false" ht="90" hidden="false" customHeight="true" outlineLevel="0" collapsed="false">
      <c r="A34" s="11" t="s">
        <v>216</v>
      </c>
      <c r="B34" s="12" t="s">
        <v>193</v>
      </c>
      <c r="C34" s="12" t="s">
        <v>217</v>
      </c>
      <c r="D34" s="12" t="s">
        <v>218</v>
      </c>
      <c r="E34" s="12" t="s">
        <v>219</v>
      </c>
      <c r="F34" s="13" t="n">
        <v>2</v>
      </c>
      <c r="G34" s="13" t="n">
        <v>4</v>
      </c>
      <c r="H34" s="14" t="n">
        <f aca="false">F34*G34</f>
        <v>8</v>
      </c>
      <c r="I34" s="15" t="str">
        <f aca="false">IF(H34&gt;=16,"Critical",IF(H34&gt;=9,"High",IF(H34&gt;=4,"Medium","Low")))</f>
        <v>Medium</v>
      </c>
      <c r="J34" s="12" t="s">
        <v>220</v>
      </c>
      <c r="K34" s="12" t="s">
        <v>221</v>
      </c>
      <c r="L34" s="12" t="s">
        <v>112</v>
      </c>
      <c r="M34" s="16" t="s">
        <v>26</v>
      </c>
      <c r="N34" s="16" t="s">
        <v>99</v>
      </c>
      <c r="O34" s="13" t="n">
        <v>1</v>
      </c>
      <c r="P34" s="13" t="n">
        <v>3</v>
      </c>
    </row>
    <row r="35" customFormat="false" ht="90" hidden="false" customHeight="true" outlineLevel="0" collapsed="false">
      <c r="A35" s="5" t="s">
        <v>222</v>
      </c>
      <c r="B35" s="6" t="s">
        <v>193</v>
      </c>
      <c r="C35" s="6" t="s">
        <v>223</v>
      </c>
      <c r="D35" s="6" t="s">
        <v>224</v>
      </c>
      <c r="E35" s="6" t="s">
        <v>225</v>
      </c>
      <c r="F35" s="7" t="n">
        <v>2</v>
      </c>
      <c r="G35" s="7" t="n">
        <v>3</v>
      </c>
      <c r="H35" s="8" t="n">
        <f aca="false">F35*G35</f>
        <v>6</v>
      </c>
      <c r="I35" s="9" t="str">
        <f aca="false">IF(H35&gt;=16,"Critical",IF(H35&gt;=9,"High",IF(H35&gt;=4,"Medium","Low")))</f>
        <v>Medium</v>
      </c>
      <c r="J35" s="6" t="s">
        <v>226</v>
      </c>
      <c r="K35" s="6" t="s">
        <v>227</v>
      </c>
      <c r="L35" s="6" t="s">
        <v>112</v>
      </c>
      <c r="M35" s="10" t="s">
        <v>26</v>
      </c>
      <c r="N35" s="10" t="s">
        <v>173</v>
      </c>
      <c r="O35" s="7" t="n">
        <v>1</v>
      </c>
      <c r="P35" s="7" t="n">
        <v>2</v>
      </c>
    </row>
    <row r="36" customFormat="false" ht="90" hidden="false" customHeight="true" outlineLevel="0" collapsed="false">
      <c r="A36" s="11" t="s">
        <v>228</v>
      </c>
      <c r="B36" s="12" t="s">
        <v>229</v>
      </c>
      <c r="C36" s="12" t="s">
        <v>230</v>
      </c>
      <c r="D36" s="12" t="s">
        <v>231</v>
      </c>
      <c r="E36" s="12" t="s">
        <v>232</v>
      </c>
      <c r="F36" s="13" t="n">
        <v>3</v>
      </c>
      <c r="G36" s="13" t="n">
        <v>4</v>
      </c>
      <c r="H36" s="14" t="n">
        <f aca="false">F36*G36</f>
        <v>12</v>
      </c>
      <c r="I36" s="15" t="str">
        <f aca="false">IF(H36&gt;=16,"Critical",IF(H36&gt;=9,"High",IF(H36&gt;=4,"Medium","Low")))</f>
        <v>High</v>
      </c>
      <c r="J36" s="12" t="s">
        <v>233</v>
      </c>
      <c r="K36" s="12" t="s">
        <v>234</v>
      </c>
      <c r="L36" s="12" t="s">
        <v>98</v>
      </c>
      <c r="M36" s="16" t="s">
        <v>26</v>
      </c>
      <c r="N36" s="16" t="s">
        <v>235</v>
      </c>
      <c r="O36" s="13" t="n">
        <v>2</v>
      </c>
      <c r="P36" s="13" t="n">
        <v>3</v>
      </c>
    </row>
    <row r="37" customFormat="false" ht="90" hidden="false" customHeight="true" outlineLevel="0" collapsed="false">
      <c r="A37" s="5" t="s">
        <v>236</v>
      </c>
      <c r="B37" s="6" t="s">
        <v>229</v>
      </c>
      <c r="C37" s="6" t="s">
        <v>237</v>
      </c>
      <c r="D37" s="6" t="s">
        <v>238</v>
      </c>
      <c r="E37" s="6" t="s">
        <v>239</v>
      </c>
      <c r="F37" s="7" t="n">
        <v>3</v>
      </c>
      <c r="G37" s="7" t="n">
        <v>4</v>
      </c>
      <c r="H37" s="8" t="n">
        <f aca="false">F37*G37</f>
        <v>12</v>
      </c>
      <c r="I37" s="9" t="str">
        <f aca="false">IF(H37&gt;=16,"Critical",IF(H37&gt;=9,"High",IF(H37&gt;=4,"Medium","Low")))</f>
        <v>High</v>
      </c>
      <c r="J37" s="6" t="s">
        <v>240</v>
      </c>
      <c r="K37" s="6" t="s">
        <v>241</v>
      </c>
      <c r="L37" s="6" t="s">
        <v>242</v>
      </c>
      <c r="M37" s="10" t="s">
        <v>26</v>
      </c>
      <c r="N37" s="10" t="s">
        <v>34</v>
      </c>
      <c r="O37" s="7" t="n">
        <v>2</v>
      </c>
      <c r="P37" s="7" t="n">
        <v>3</v>
      </c>
    </row>
    <row r="38" customFormat="false" ht="90" hidden="false" customHeight="true" outlineLevel="0" collapsed="false">
      <c r="A38" s="11" t="s">
        <v>243</v>
      </c>
      <c r="B38" s="12" t="s">
        <v>229</v>
      </c>
      <c r="C38" s="12" t="s">
        <v>244</v>
      </c>
      <c r="D38" s="12" t="s">
        <v>245</v>
      </c>
      <c r="E38" s="12" t="s">
        <v>246</v>
      </c>
      <c r="F38" s="13" t="n">
        <v>2</v>
      </c>
      <c r="G38" s="13" t="n">
        <v>4</v>
      </c>
      <c r="H38" s="14" t="n">
        <f aca="false">F38*G38</f>
        <v>8</v>
      </c>
      <c r="I38" s="15" t="str">
        <f aca="false">IF(H38&gt;=16,"Critical",IF(H38&gt;=9,"High",IF(H38&gt;=4,"Medium","Low")))</f>
        <v>Medium</v>
      </c>
      <c r="J38" s="12" t="s">
        <v>247</v>
      </c>
      <c r="K38" s="12" t="s">
        <v>248</v>
      </c>
      <c r="L38" s="12" t="s">
        <v>242</v>
      </c>
      <c r="M38" s="16" t="s">
        <v>26</v>
      </c>
      <c r="N38" s="16" t="s">
        <v>27</v>
      </c>
      <c r="O38" s="13" t="n">
        <v>1</v>
      </c>
      <c r="P38" s="13" t="n">
        <v>3</v>
      </c>
    </row>
    <row r="39" customFormat="false" ht="90" hidden="false" customHeight="true" outlineLevel="0" collapsed="false">
      <c r="A39" s="5" t="s">
        <v>249</v>
      </c>
      <c r="B39" s="6" t="s">
        <v>229</v>
      </c>
      <c r="C39" s="6" t="s">
        <v>250</v>
      </c>
      <c r="D39" s="6" t="s">
        <v>251</v>
      </c>
      <c r="E39" s="6" t="s">
        <v>252</v>
      </c>
      <c r="F39" s="7" t="n">
        <v>3</v>
      </c>
      <c r="G39" s="7" t="n">
        <v>3</v>
      </c>
      <c r="H39" s="8" t="n">
        <f aca="false">F39*G39</f>
        <v>9</v>
      </c>
      <c r="I39" s="9" t="str">
        <f aca="false">IF(H39&gt;=16,"Critical",IF(H39&gt;=9,"High",IF(H39&gt;=4,"Medium","Low")))</f>
        <v>High</v>
      </c>
      <c r="J39" s="6" t="s">
        <v>253</v>
      </c>
      <c r="K39" s="6" t="s">
        <v>254</v>
      </c>
      <c r="L39" s="6" t="s">
        <v>98</v>
      </c>
      <c r="M39" s="10" t="s">
        <v>26</v>
      </c>
      <c r="N39" s="10" t="s">
        <v>34</v>
      </c>
      <c r="O39" s="7" t="n">
        <v>2</v>
      </c>
      <c r="P39" s="7" t="n">
        <v>2</v>
      </c>
    </row>
  </sheetData>
  <mergeCells count="3">
    <mergeCell ref="A1:P1"/>
    <mergeCell ref="A2:P2"/>
    <mergeCell ref="A3:P3"/>
  </mergeCells>
  <conditionalFormatting sqref="H5:H39">
    <cfRule type="cellIs" priority="2" operator="greaterThanOrEqual" aboveAverage="0" equalAverage="0" bottom="0" percent="0" rank="0" text="" dxfId="0">
      <formula>16</formula>
    </cfRule>
    <cfRule type="cellIs" priority="3" operator="between" aboveAverage="0" equalAverage="0" bottom="0" percent="0" rank="0" text="" dxfId="1">
      <formula>9</formula>
      <formula>15</formula>
    </cfRule>
    <cfRule type="cellIs" priority="4" operator="between" aboveAverage="0" equalAverage="0" bottom="0" percent="0" rank="0" text="" dxfId="2">
      <formula>4</formula>
      <formula>8</formula>
    </cfRule>
    <cfRule type="cellIs" priority="5" operator="lessThan" aboveAverage="0" equalAverage="0" bottom="0" percent="0" rank="0" text="" dxfId="3">
      <formula>4</formula>
    </cfRule>
  </conditionalFormatting>
  <conditionalFormatting sqref="I5:I39">
    <cfRule type="cellIs" priority="6" operator="equal" aboveAverage="0" equalAverage="0" bottom="0" percent="0" rank="0" text="" dxfId="0">
      <formula>"Critical"</formula>
    </cfRule>
    <cfRule type="cellIs" priority="7" operator="equal" aboveAverage="0" equalAverage="0" bottom="0" percent="0" rank="0" text="" dxfId="1">
      <formula>"High"</formula>
    </cfRule>
    <cfRule type="cellIs" priority="8" operator="equal" aboveAverage="0" equalAverage="0" bottom="0" percent="0" rank="0" text="" dxfId="2">
      <formula>"Medium"</formula>
    </cfRule>
    <cfRule type="cellIs" priority="9" operator="equal" aboveAverage="0" equalAverage="0" bottom="0" percent="0" rank="0" text="" dxfId="3">
      <formula>"Low"</formula>
    </cfRule>
  </conditionalFormatting>
  <conditionalFormatting sqref="M5:M39">
    <cfRule type="cellIs" priority="10" operator="equal" aboveAverage="0" equalAverage="0" bottom="0" percent="0" rank="0" text="" dxfId="4">
      <formula>"Open"</formula>
    </cfRule>
    <cfRule type="cellIs" priority="11" operator="equal" aboveAverage="0" equalAverage="0" bottom="0" percent="0" rank="0" text="" dxfId="5">
      <formula>"Closed"</formula>
    </cfRule>
    <cfRule type="cellIs" priority="12" operator="equal" aboveAverage="0" equalAverage="0" bottom="0" percent="0" rank="0" text="" dxfId="6">
      <formula>"In Progress"</formula>
    </cfRule>
  </conditionalFormatting>
  <dataValidations count="2">
    <dataValidation allowBlank="false" errorStyle="stop" operator="between" showDropDown="false" showErrorMessage="false" showInputMessage="false" sqref="M5:M39" type="list">
      <formula1>"Open,In Progress,Closed,Accepted"</formula1>
      <formula2>0</formula2>
    </dataValidation>
    <dataValidation allowBlank="false" errorStyle="stop" operator="between" showDropDown="false" showErrorMessage="false" showInputMessage="false" sqref="F5:G39 O5:P39"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4A6B"/>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3"/>
    <col collapsed="false" customWidth="true" hidden="false" outlineLevel="0" max="4" min="4" style="0" width="22"/>
    <col collapsed="false" customWidth="true" hidden="false" outlineLevel="0" max="5" min="5" style="0" width="10"/>
    <col collapsed="false" customWidth="true" hidden="false" outlineLevel="0" max="6" min="6" style="0" width="3"/>
    <col collapsed="false" customWidth="true" hidden="false" outlineLevel="0" max="7" min="7" style="0" width="14"/>
    <col collapsed="false" customWidth="true" hidden="false" outlineLevel="0" max="12" min="8" style="0" width="12"/>
  </cols>
  <sheetData>
    <row r="1" customFormat="false" ht="27.75" hidden="false" customHeight="true" outlineLevel="0" collapsed="false">
      <c r="A1" s="1" t="s">
        <v>255</v>
      </c>
      <c r="B1" s="1"/>
      <c r="C1" s="1"/>
      <c r="D1" s="1"/>
      <c r="E1" s="1"/>
      <c r="F1" s="1"/>
      <c r="G1" s="1"/>
      <c r="H1" s="1"/>
      <c r="I1" s="1"/>
      <c r="J1" s="1"/>
      <c r="K1" s="1"/>
      <c r="L1" s="1"/>
    </row>
    <row r="2" customFormat="false" ht="15.75" hidden="false" customHeight="true" outlineLevel="0" collapsed="false">
      <c r="A2" s="17" t="s">
        <v>256</v>
      </c>
      <c r="B2" s="17"/>
      <c r="C2" s="17"/>
      <c r="D2" s="17"/>
      <c r="E2" s="17"/>
      <c r="F2" s="17"/>
      <c r="G2" s="17"/>
      <c r="H2" s="17"/>
      <c r="I2" s="17"/>
      <c r="J2" s="17"/>
      <c r="K2" s="17"/>
      <c r="L2" s="17"/>
    </row>
    <row r="4" customFormat="false" ht="21.75" hidden="false" customHeight="true" outlineLevel="0" collapsed="false">
      <c r="A4" s="18" t="s">
        <v>257</v>
      </c>
      <c r="B4" s="19" t="n">
        <f aca="false">35</f>
        <v>35</v>
      </c>
      <c r="D4" s="20" t="s">
        <v>258</v>
      </c>
      <c r="E4" s="20" t="s">
        <v>259</v>
      </c>
      <c r="G4" s="21" t="s">
        <v>260</v>
      </c>
      <c r="H4" s="21"/>
      <c r="I4" s="21"/>
      <c r="J4" s="21"/>
      <c r="K4" s="21"/>
      <c r="L4" s="21"/>
    </row>
    <row r="5" customFormat="false" ht="25.5" hidden="false" customHeight="true" outlineLevel="0" collapsed="false">
      <c r="A5" s="22" t="s">
        <v>261</v>
      </c>
      <c r="B5" s="23" t="n">
        <f aca="false">COUNTIF('Risk Register'!H5:H39,"&gt;=16")</f>
        <v>0</v>
      </c>
      <c r="D5" s="24" t="s">
        <v>19</v>
      </c>
      <c r="E5" s="25" t="n">
        <f aca="false">COUNTIF('Risk Register'!B5:B39,D5)</f>
        <v>2</v>
      </c>
      <c r="G5" s="26" t="s">
        <v>262</v>
      </c>
      <c r="H5" s="27" t="n">
        <v>1</v>
      </c>
      <c r="I5" s="27" t="n">
        <v>2</v>
      </c>
      <c r="J5" s="27" t="n">
        <v>3</v>
      </c>
      <c r="K5" s="27" t="n">
        <v>4</v>
      </c>
      <c r="L5" s="27" t="n">
        <v>5</v>
      </c>
    </row>
    <row r="6" customFormat="false" ht="27.75" hidden="false" customHeight="true" outlineLevel="0" collapsed="false">
      <c r="A6" s="28" t="s">
        <v>263</v>
      </c>
      <c r="B6" s="29" t="n">
        <f aca="false">COUNTIFS('Risk Register'!H5:H39,"&gt;=9",'Risk Register'!H5:H39,"&lt;=15")</f>
        <v>18</v>
      </c>
      <c r="D6" s="30" t="s">
        <v>36</v>
      </c>
      <c r="E6" s="31" t="n">
        <f aca="false">COUNTIF('Risk Register'!B5:B39,D6)</f>
        <v>4</v>
      </c>
      <c r="G6" s="27" t="n">
        <v>5</v>
      </c>
      <c r="H6" s="32" t="n">
        <f aca="false">COUNTIFS('Risk Register'!F5:F39,5,'Risk Register'!G5:G39,1)</f>
        <v>0</v>
      </c>
      <c r="I6" s="33" t="n">
        <f aca="false">COUNTIFS('Risk Register'!F5:F39,5,'Risk Register'!G5:G39,2)</f>
        <v>0</v>
      </c>
      <c r="J6" s="33" t="n">
        <f aca="false">COUNTIFS('Risk Register'!F5:F39,5,'Risk Register'!G5:G39,3)</f>
        <v>0</v>
      </c>
      <c r="K6" s="34" t="n">
        <f aca="false">COUNTIFS('Risk Register'!F5:F39,5,'Risk Register'!G5:G39,4)</f>
        <v>0</v>
      </c>
      <c r="L6" s="34" t="n">
        <f aca="false">COUNTIFS('Risk Register'!F5:F39,5,'Risk Register'!G5:G39,5)</f>
        <v>0</v>
      </c>
    </row>
    <row r="7" customFormat="false" ht="27.75" hidden="false" customHeight="true" outlineLevel="0" collapsed="false">
      <c r="A7" s="35" t="s">
        <v>264</v>
      </c>
      <c r="B7" s="36" t="n">
        <f aca="false">COUNTIFS('Risk Register'!H5:H39,"&gt;=4",'Risk Register'!H5:H39,"&lt;=8")</f>
        <v>17</v>
      </c>
      <c r="D7" s="24" t="s">
        <v>58</v>
      </c>
      <c r="E7" s="25" t="n">
        <f aca="false">COUNTIF('Risk Register'!B5:B39,D7)</f>
        <v>3</v>
      </c>
      <c r="G7" s="27" t="n">
        <v>4</v>
      </c>
      <c r="H7" s="32" t="n">
        <f aca="false">COUNTIFS('Risk Register'!F5:F39,4,'Risk Register'!G5:G39,1)</f>
        <v>0</v>
      </c>
      <c r="I7" s="32" t="n">
        <f aca="false">COUNTIFS('Risk Register'!F5:F39,4,'Risk Register'!G5:G39,2)</f>
        <v>0</v>
      </c>
      <c r="J7" s="33" t="n">
        <f aca="false">COUNTIFS('Risk Register'!F5:F39,4,'Risk Register'!G5:G39,3)</f>
        <v>0</v>
      </c>
      <c r="K7" s="34" t="n">
        <f aca="false">COUNTIFS('Risk Register'!F5:F39,4,'Risk Register'!G5:G39,4)</f>
        <v>0</v>
      </c>
      <c r="L7" s="34" t="n">
        <f aca="false">COUNTIFS('Risk Register'!F5:F39,4,'Risk Register'!G5:G39,5)</f>
        <v>0</v>
      </c>
    </row>
    <row r="8" customFormat="false" ht="27.75" hidden="false" customHeight="true" outlineLevel="0" collapsed="false">
      <c r="A8" s="37" t="s">
        <v>265</v>
      </c>
      <c r="B8" s="38" t="n">
        <f aca="false">COUNTIF('Risk Register'!H5:H39,"&lt;4")</f>
        <v>0</v>
      </c>
      <c r="D8" s="30" t="s">
        <v>78</v>
      </c>
      <c r="E8" s="31" t="n">
        <f aca="false">COUNTIF('Risk Register'!B5:B39,D8)</f>
        <v>2</v>
      </c>
      <c r="G8" s="27" t="n">
        <v>3</v>
      </c>
      <c r="H8" s="39" t="n">
        <f aca="false">COUNTIFS('Risk Register'!F5:F39,3,'Risk Register'!G5:G39,1)</f>
        <v>0</v>
      </c>
      <c r="I8" s="32" t="n">
        <f aca="false">COUNTIFS('Risk Register'!F5:F39,3,'Risk Register'!G5:G39,2)</f>
        <v>0</v>
      </c>
      <c r="J8" s="33" t="n">
        <f aca="false">COUNTIFS('Risk Register'!F5:F39,3,'Risk Register'!G5:G39,3)</f>
        <v>5</v>
      </c>
      <c r="K8" s="33" t="n">
        <f aca="false">COUNTIFS('Risk Register'!F5:F39,3,'Risk Register'!G5:G39,4)</f>
        <v>7</v>
      </c>
      <c r="L8" s="33" t="n">
        <f aca="false">COUNTIFS('Risk Register'!F5:F39,3,'Risk Register'!G5:G39,5)</f>
        <v>1</v>
      </c>
    </row>
    <row r="9" customFormat="false" ht="27.75" hidden="false" customHeight="true" outlineLevel="0" collapsed="false">
      <c r="A9" s="40" t="s">
        <v>26</v>
      </c>
      <c r="B9" s="41" t="n">
        <f aca="false">COUNTIF('Risk Register'!M5:M39,"Open")</f>
        <v>35</v>
      </c>
      <c r="D9" s="24" t="s">
        <v>92</v>
      </c>
      <c r="E9" s="25" t="n">
        <f aca="false">COUNTIF('Risk Register'!B5:B39,D9)</f>
        <v>4</v>
      </c>
      <c r="G9" s="27" t="n">
        <v>2</v>
      </c>
      <c r="H9" s="39" t="n">
        <f aca="false">COUNTIFS('Risk Register'!F5:F39,2,'Risk Register'!G5:G39,1)</f>
        <v>0</v>
      </c>
      <c r="I9" s="32" t="n">
        <f aca="false">COUNTIFS('Risk Register'!F5:F39,2,'Risk Register'!G5:G39,2)</f>
        <v>2</v>
      </c>
      <c r="J9" s="32" t="n">
        <f aca="false">COUNTIFS('Risk Register'!F5:F39,2,'Risk Register'!G5:G39,3)</f>
        <v>6</v>
      </c>
      <c r="K9" s="32" t="n">
        <f aca="false">COUNTIFS('Risk Register'!F5:F39,2,'Risk Register'!G5:G39,4)</f>
        <v>9</v>
      </c>
      <c r="L9" s="33" t="n">
        <f aca="false">COUNTIFS('Risk Register'!F5:F39,2,'Risk Register'!G5:G39,5)</f>
        <v>5</v>
      </c>
    </row>
    <row r="10" customFormat="false" ht="27.75" hidden="false" customHeight="true" outlineLevel="0" collapsed="false">
      <c r="A10" s="42" t="s">
        <v>266</v>
      </c>
      <c r="B10" s="43" t="n">
        <f aca="false">COUNTIF('Risk Register'!M5:M39,"In Progress")</f>
        <v>0</v>
      </c>
      <c r="D10" s="30" t="s">
        <v>120</v>
      </c>
      <c r="E10" s="31" t="n">
        <f aca="false">COUNTIF('Risk Register'!B5:B39,D10)</f>
        <v>2</v>
      </c>
      <c r="G10" s="27" t="n">
        <v>1</v>
      </c>
      <c r="H10" s="39" t="n">
        <f aca="false">COUNTIFS('Risk Register'!F5:F39,1,'Risk Register'!G5:G39,1)</f>
        <v>0</v>
      </c>
      <c r="I10" s="39" t="n">
        <f aca="false">COUNTIFS('Risk Register'!F5:F39,1,'Risk Register'!G5:G39,2)</f>
        <v>0</v>
      </c>
      <c r="J10" s="39" t="n">
        <f aca="false">COUNTIFS('Risk Register'!F5:F39,1,'Risk Register'!G5:G39,3)</f>
        <v>0</v>
      </c>
      <c r="K10" s="32" t="n">
        <f aca="false">COUNTIFS('Risk Register'!F5:F39,1,'Risk Register'!G5:G39,4)</f>
        <v>0</v>
      </c>
      <c r="L10" s="32" t="n">
        <f aca="false">COUNTIFS('Risk Register'!F5:F39,1,'Risk Register'!G5:G39,5)</f>
        <v>0</v>
      </c>
    </row>
    <row r="11" customFormat="false" ht="21.75" hidden="false" customHeight="true" outlineLevel="0" collapsed="false">
      <c r="A11" s="37" t="s">
        <v>267</v>
      </c>
      <c r="B11" s="38" t="n">
        <f aca="false">COUNTIF('Risk Register'!M5:M39,"Closed")</f>
        <v>0</v>
      </c>
      <c r="D11" s="24" t="s">
        <v>133</v>
      </c>
      <c r="E11" s="25" t="n">
        <f aca="false">COUNTIF('Risk Register'!B5:B39,D11)</f>
        <v>2</v>
      </c>
    </row>
    <row r="12" customFormat="false" ht="19.5" hidden="false" customHeight="true" outlineLevel="0" collapsed="false">
      <c r="D12" s="30" t="s">
        <v>146</v>
      </c>
      <c r="E12" s="31" t="n">
        <f aca="false">COUNTIF('Risk Register'!B5:B39,D12)</f>
        <v>3</v>
      </c>
      <c r="G12" s="44" t="s">
        <v>268</v>
      </c>
      <c r="H12" s="44"/>
      <c r="I12" s="44"/>
      <c r="J12" s="44"/>
      <c r="K12" s="44"/>
      <c r="L12" s="44"/>
    </row>
    <row r="13" customFormat="false" ht="21.75" hidden="false" customHeight="true" outlineLevel="0" collapsed="false">
      <c r="D13" s="24" t="s">
        <v>166</v>
      </c>
      <c r="E13" s="25" t="n">
        <f aca="false">COUNTIF('Risk Register'!B5:B39,D13)</f>
        <v>3</v>
      </c>
      <c r="H13" s="45" t="s">
        <v>269</v>
      </c>
      <c r="I13" s="46" t="s">
        <v>270</v>
      </c>
      <c r="J13" s="47" t="s">
        <v>271</v>
      </c>
      <c r="K13" s="48" t="s">
        <v>272</v>
      </c>
    </row>
    <row r="14" customFormat="false" ht="21.75" hidden="false" customHeight="true" outlineLevel="0" collapsed="false">
      <c r="D14" s="30" t="s">
        <v>193</v>
      </c>
      <c r="E14" s="31" t="n">
        <f aca="false">COUNTIF('Risk Register'!B5:B39,D14)</f>
        <v>6</v>
      </c>
    </row>
    <row r="15" customFormat="false" ht="21.75" hidden="false" customHeight="true" outlineLevel="0" collapsed="false">
      <c r="D15" s="24" t="s">
        <v>229</v>
      </c>
      <c r="E15" s="25" t="n">
        <f aca="false">COUNTIF('Risk Register'!B5:B39,D15)</f>
        <v>4</v>
      </c>
    </row>
  </sheetData>
  <mergeCells count="4">
    <mergeCell ref="A1:L1"/>
    <mergeCell ref="A2:L2"/>
    <mergeCell ref="G4:L4"/>
    <mergeCell ref="G12:L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5998"/>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52"/>
    <col collapsed="false" customWidth="true" hidden="false" outlineLevel="0" max="4" min="4" style="0" width="22"/>
    <col collapsed="false" customWidth="true" hidden="false" outlineLevel="0" max="5" min="5" style="0" width="10"/>
    <col collapsed="false" customWidth="true" hidden="false" outlineLevel="0" max="6" min="6" style="0" width="18"/>
    <col collapsed="false" customWidth="true" hidden="false" outlineLevel="0" max="7" min="7" style="0" width="52"/>
  </cols>
  <sheetData>
    <row r="1" customFormat="false" ht="25.5" hidden="false" customHeight="true" outlineLevel="0" collapsed="false">
      <c r="A1" s="49" t="s">
        <v>273</v>
      </c>
      <c r="B1" s="49"/>
      <c r="C1" s="49"/>
      <c r="D1" s="49"/>
      <c r="E1" s="49"/>
      <c r="F1" s="49"/>
      <c r="G1" s="49"/>
    </row>
    <row r="2" customFormat="false" ht="18" hidden="false" customHeight="true" outlineLevel="0" collapsed="false">
      <c r="A2" s="17" t="s">
        <v>274</v>
      </c>
      <c r="B2" s="17"/>
      <c r="C2" s="17"/>
      <c r="D2" s="17"/>
      <c r="E2" s="17"/>
      <c r="F2" s="17"/>
      <c r="G2" s="17"/>
    </row>
    <row r="3" customFormat="false" ht="21.75" hidden="false" customHeight="true" outlineLevel="0" collapsed="false">
      <c r="A3" s="50" t="s">
        <v>275</v>
      </c>
      <c r="B3" s="50"/>
      <c r="C3" s="50"/>
      <c r="E3" s="50" t="s">
        <v>276</v>
      </c>
      <c r="F3" s="50"/>
      <c r="G3" s="50"/>
    </row>
    <row r="4" customFormat="false" ht="30" hidden="false" customHeight="true" outlineLevel="0" collapsed="false">
      <c r="A4" s="51" t="s">
        <v>277</v>
      </c>
      <c r="B4" s="52" t="s">
        <v>278</v>
      </c>
      <c r="C4" s="52" t="s">
        <v>5</v>
      </c>
      <c r="E4" s="51" t="s">
        <v>277</v>
      </c>
      <c r="F4" s="52" t="s">
        <v>279</v>
      </c>
      <c r="G4" s="52" t="s">
        <v>5</v>
      </c>
    </row>
    <row r="5" customFormat="false" ht="30" hidden="false" customHeight="true" outlineLevel="0" collapsed="false">
      <c r="A5" s="53" t="s">
        <v>280</v>
      </c>
      <c r="B5" s="54" t="s">
        <v>281</v>
      </c>
      <c r="C5" s="55" t="s">
        <v>282</v>
      </c>
      <c r="E5" s="56" t="s">
        <v>280</v>
      </c>
      <c r="F5" s="57" t="s">
        <v>283</v>
      </c>
      <c r="G5" s="58" t="s">
        <v>284</v>
      </c>
    </row>
    <row r="6" customFormat="false" ht="30" hidden="false" customHeight="true" outlineLevel="0" collapsed="false">
      <c r="A6" s="59" t="s">
        <v>285</v>
      </c>
      <c r="B6" s="60" t="s">
        <v>286</v>
      </c>
      <c r="C6" s="60" t="s">
        <v>287</v>
      </c>
      <c r="E6" s="61" t="s">
        <v>285</v>
      </c>
      <c r="F6" s="62" t="s">
        <v>288</v>
      </c>
      <c r="G6" s="62" t="s">
        <v>289</v>
      </c>
    </row>
    <row r="7" customFormat="false" ht="30" hidden="false" customHeight="true" outlineLevel="0" collapsed="false">
      <c r="A7" s="63" t="s">
        <v>290</v>
      </c>
      <c r="B7" s="64" t="s">
        <v>291</v>
      </c>
      <c r="C7" s="64" t="s">
        <v>292</v>
      </c>
      <c r="E7" s="59" t="s">
        <v>290</v>
      </c>
      <c r="F7" s="60" t="s">
        <v>293</v>
      </c>
      <c r="G7" s="60" t="s">
        <v>294</v>
      </c>
    </row>
    <row r="8" customFormat="false" ht="30" hidden="false" customHeight="true" outlineLevel="0" collapsed="false">
      <c r="A8" s="65" t="s">
        <v>295</v>
      </c>
      <c r="B8" s="66" t="s">
        <v>296</v>
      </c>
      <c r="C8" s="66" t="s">
        <v>297</v>
      </c>
      <c r="E8" s="63" t="s">
        <v>295</v>
      </c>
      <c r="F8" s="64" t="s">
        <v>298</v>
      </c>
      <c r="G8" s="64" t="s">
        <v>299</v>
      </c>
    </row>
    <row r="9" customFormat="false" ht="30" hidden="false" customHeight="true" outlineLevel="0" collapsed="false">
      <c r="A9" s="67" t="s">
        <v>300</v>
      </c>
      <c r="B9" s="68" t="s">
        <v>301</v>
      </c>
      <c r="C9" s="68" t="s">
        <v>302</v>
      </c>
      <c r="E9" s="67" t="s">
        <v>300</v>
      </c>
      <c r="F9" s="68" t="s">
        <v>303</v>
      </c>
      <c r="G9" s="68" t="s">
        <v>304</v>
      </c>
    </row>
    <row r="10" customFormat="false" ht="30" hidden="false" customHeight="true" outlineLevel="0" collapsed="false"/>
    <row r="11" customFormat="false" ht="30" hidden="false" customHeight="true" outlineLevel="0" collapsed="false">
      <c r="A11" s="50" t="s">
        <v>305</v>
      </c>
      <c r="B11" s="50"/>
      <c r="C11" s="50"/>
      <c r="D11" s="50"/>
      <c r="E11" s="50"/>
      <c r="F11" s="50"/>
      <c r="G11" s="50"/>
    </row>
    <row r="12" customFormat="false" ht="30" hidden="false" customHeight="true" outlineLevel="0" collapsed="false">
      <c r="A12" s="51" t="s">
        <v>306</v>
      </c>
      <c r="B12" s="69" t="s">
        <v>10</v>
      </c>
      <c r="C12" s="70" t="s">
        <v>307</v>
      </c>
      <c r="D12" s="71" t="s">
        <v>308</v>
      </c>
    </row>
    <row r="13" customFormat="false" ht="30" hidden="false" customHeight="true" outlineLevel="0" collapsed="false">
      <c r="A13" s="72" t="s">
        <v>309</v>
      </c>
      <c r="B13" s="73" t="s">
        <v>283</v>
      </c>
      <c r="C13" s="74" t="s">
        <v>310</v>
      </c>
      <c r="D13" s="75" t="s">
        <v>311</v>
      </c>
    </row>
    <row r="14" customFormat="false" ht="30" hidden="false" customHeight="true" outlineLevel="0" collapsed="false">
      <c r="A14" s="76" t="s">
        <v>312</v>
      </c>
      <c r="B14" s="77" t="s">
        <v>313</v>
      </c>
      <c r="C14" s="78" t="s">
        <v>314</v>
      </c>
      <c r="D14" s="79" t="s">
        <v>315</v>
      </c>
    </row>
    <row r="15" customFormat="false" ht="30" hidden="false" customHeight="true" outlineLevel="0" collapsed="false">
      <c r="A15" s="80" t="s">
        <v>316</v>
      </c>
      <c r="B15" s="81" t="s">
        <v>317</v>
      </c>
      <c r="C15" s="82" t="s">
        <v>318</v>
      </c>
      <c r="D15" s="83" t="s">
        <v>319</v>
      </c>
    </row>
    <row r="16" customFormat="false" ht="30" hidden="false" customHeight="true" outlineLevel="0" collapsed="false">
      <c r="A16" s="84" t="s">
        <v>320</v>
      </c>
      <c r="B16" s="85" t="s">
        <v>321</v>
      </c>
      <c r="C16" s="86" t="s">
        <v>322</v>
      </c>
      <c r="D16" s="87" t="s">
        <v>323</v>
      </c>
    </row>
  </sheetData>
  <mergeCells count="5">
    <mergeCell ref="A1:G1"/>
    <mergeCell ref="A2:G2"/>
    <mergeCell ref="A3:C3"/>
    <mergeCell ref="E3:G3"/>
    <mergeCell ref="A11:G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2026-05-03T05:17:01Z</dcterms:created>
  <dc:creator>openpyxl</dc:creator>
  <dc:description/>
  <dc:language>en-US</dc:language>
  <cp:lastModifiedBy/>
  <dcterms:modified xsi:type="dcterms:W3CDTF">2026-05-03T05:17:01Z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